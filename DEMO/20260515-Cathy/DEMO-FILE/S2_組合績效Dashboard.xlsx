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績效歸因" sheetId="1" state="visible" r:id="rId1"/>
    <sheet xmlns:r="http://schemas.openxmlformats.org/officeDocument/2006/relationships" name="風險指標" sheetId="2" state="visible" r:id="rId2"/>
    <sheet xmlns:r="http://schemas.openxmlformats.org/officeDocument/2006/relationships" name="月度報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006633"/>
      <sz val="14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55A11"/>
        <bgColor rgb="00C55A11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各資產類別對總報酬貢獻（pp）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'績效歸因'!D3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'績效歸因'!$A$4:$A$10</f>
            </numRef>
          </cat>
          <val>
            <numRef>
              <f>'績效歸因'!$D$4:$D$10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組合 vs. 基準月度報酬</a:t>
            </a:r>
          </a:p>
        </rich>
      </tx>
    </title>
    <plotArea>
      <lineChart>
        <grouping val="standard"/>
        <ser>
          <idx val="0"/>
          <order val="0"/>
          <tx>
            <strRef>
              <f>'月度報酬'!B3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'月度報酬'!$A$4:$A$15</f>
            </numRef>
          </cat>
          <val>
            <numRef>
              <f>'月度報酬'!$B$4:$B$15</f>
            </numRef>
          </val>
        </ser>
        <ser>
          <idx val="1"/>
          <order val="1"/>
          <tx>
            <strRef>
              <f>'月度報酬'!C3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'月度報酬'!$A$4:$A$15</f>
            </numRef>
          </cat>
          <val>
            <numRef>
              <f>'月度報酬'!$C$4:$C$15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月報酬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📈 高資產組合 2026 Q1 績效歸因（VIP-2024-08321）</t>
        </is>
      </c>
    </row>
    <row r="2"/>
    <row r="3">
      <c r="A3" s="2" t="inlineStr">
        <is>
          <t>資產類別</t>
        </is>
      </c>
      <c r="B3" s="2" t="inlineStr">
        <is>
          <t>權重(%)</t>
        </is>
      </c>
      <c r="C3" s="2" t="inlineStr">
        <is>
          <t>報酬(%)</t>
        </is>
      </c>
      <c r="D3" s="2" t="inlineStr">
        <is>
          <t>貢獻(pp)</t>
        </is>
      </c>
      <c r="E3" s="2" t="inlineStr">
        <is>
          <t>vs 基準(pp)</t>
        </is>
      </c>
    </row>
    <row r="4">
      <c r="A4" s="3" t="inlineStr">
        <is>
          <t>已開發股票</t>
        </is>
      </c>
      <c r="B4" s="3" t="n">
        <v>40</v>
      </c>
      <c r="C4" s="3" t="n">
        <v>9.800000000000001</v>
      </c>
      <c r="D4" s="3" t="n">
        <v>3.92</v>
      </c>
      <c r="E4" s="3" t="n">
        <v>0.85</v>
      </c>
    </row>
    <row r="5">
      <c r="A5" s="3" t="inlineStr">
        <is>
          <t>新興市場股</t>
        </is>
      </c>
      <c r="B5" s="3" t="n">
        <v>10</v>
      </c>
      <c r="C5" s="3" t="n">
        <v>5.2</v>
      </c>
      <c r="D5" s="3" t="n">
        <v>0.52</v>
      </c>
      <c r="E5" s="3" t="n">
        <v>-0.32</v>
      </c>
    </row>
    <row r="6">
      <c r="A6" s="3" t="inlineStr">
        <is>
          <t>投資級債</t>
        </is>
      </c>
      <c r="B6" s="3" t="n">
        <v>20</v>
      </c>
      <c r="C6" s="3" t="n">
        <v>1.8</v>
      </c>
      <c r="D6" s="3" t="n">
        <v>0.36</v>
      </c>
      <c r="E6" s="3" t="n">
        <v>-0.15</v>
      </c>
    </row>
    <row r="7">
      <c r="A7" s="3" t="inlineStr">
        <is>
          <t>高收益債</t>
        </is>
      </c>
      <c r="B7" s="3" t="n">
        <v>8</v>
      </c>
      <c r="C7" s="3" t="n">
        <v>3.4</v>
      </c>
      <c r="D7" s="3" t="n">
        <v>0.27</v>
      </c>
      <c r="E7" s="3" t="n">
        <v>0.08</v>
      </c>
    </row>
    <row r="8">
      <c r="A8" s="3" t="inlineStr">
        <is>
          <t>REITs</t>
        </is>
      </c>
      <c r="B8" s="3" t="n">
        <v>6</v>
      </c>
      <c r="C8" s="3" t="n">
        <v>4.8</v>
      </c>
      <c r="D8" s="3" t="n">
        <v>0.29</v>
      </c>
      <c r="E8" s="3" t="n">
        <v>0.12</v>
      </c>
    </row>
    <row r="9">
      <c r="A9" s="3" t="inlineStr">
        <is>
          <t>商品/黃金</t>
        </is>
      </c>
      <c r="B9" s="3" t="n">
        <v>5</v>
      </c>
      <c r="C9" s="3" t="n">
        <v>-1.2</v>
      </c>
      <c r="D9" s="3" t="n">
        <v>-0.06</v>
      </c>
      <c r="E9" s="3" t="n">
        <v>-0.18</v>
      </c>
    </row>
    <row r="10">
      <c r="A10" s="3" t="inlineStr">
        <is>
          <t>現金 / 短票</t>
        </is>
      </c>
      <c r="B10" s="3" t="n">
        <v>11</v>
      </c>
      <c r="C10" s="3" t="n">
        <v>0.45</v>
      </c>
      <c r="D10" s="3" t="n">
        <v>0.05</v>
      </c>
      <c r="E10" s="3" t="n">
        <v>0</v>
      </c>
    </row>
    <row r="11">
      <c r="A11" s="3" t="inlineStr">
        <is>
          <t>合計</t>
        </is>
      </c>
      <c r="B11" s="3" t="n">
        <v>100</v>
      </c>
      <c r="C11" s="3" t="n">
        <v>9.199999999999999</v>
      </c>
      <c r="D11" s="3" t="n">
        <v>9.199999999999999</v>
      </c>
      <c r="E11" s="3" t="n">
        <v>0.4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3" customWidth="1" min="4" max="4"/>
  </cols>
  <sheetData>
    <row r="1">
      <c r="A1" s="1" t="inlineStr">
        <is>
          <t>⚠️ 組合風險指標雷達</t>
        </is>
      </c>
    </row>
    <row r="2"/>
    <row r="3">
      <c r="A3" s="4" t="inlineStr">
        <is>
          <t>指標</t>
        </is>
      </c>
      <c r="B3" s="4" t="inlineStr">
        <is>
          <t>本季</t>
        </is>
      </c>
      <c r="C3" s="4" t="inlineStr">
        <is>
          <t>上季</t>
        </is>
      </c>
      <c r="D3" s="4" t="inlineStr">
        <is>
          <t>目標</t>
        </is>
      </c>
    </row>
    <row r="4">
      <c r="A4" s="3" t="inlineStr">
        <is>
          <t>年化波動率</t>
        </is>
      </c>
      <c r="B4" s="3" t="inlineStr">
        <is>
          <t>11.8%</t>
        </is>
      </c>
      <c r="C4" s="3" t="inlineStr">
        <is>
          <t>12.5%</t>
        </is>
      </c>
      <c r="D4" s="3" t="inlineStr">
        <is>
          <t>≤13%</t>
        </is>
      </c>
    </row>
    <row r="5">
      <c r="A5" s="3" t="inlineStr">
        <is>
          <t>Sharpe Ratio</t>
        </is>
      </c>
      <c r="B5" s="3" t="inlineStr">
        <is>
          <t>0.72</t>
        </is>
      </c>
      <c r="C5" s="3" t="inlineStr">
        <is>
          <t>0.55</t>
        </is>
      </c>
      <c r="D5" s="3" t="inlineStr">
        <is>
          <t>≥0.6</t>
        </is>
      </c>
    </row>
    <row r="6">
      <c r="A6" s="3" t="inlineStr">
        <is>
          <t>Max Drawdown</t>
        </is>
      </c>
      <c r="B6" s="3" t="inlineStr">
        <is>
          <t>-7.4%</t>
        </is>
      </c>
      <c r="C6" s="3" t="inlineStr">
        <is>
          <t>-9.1%</t>
        </is>
      </c>
      <c r="D6" s="3" t="inlineStr">
        <is>
          <t>≥-10%</t>
        </is>
      </c>
    </row>
    <row r="7">
      <c r="A7" s="3" t="inlineStr">
        <is>
          <t>Tracking Error</t>
        </is>
      </c>
      <c r="B7" s="3" t="inlineStr">
        <is>
          <t>2.1%</t>
        </is>
      </c>
      <c r="C7" s="3" t="inlineStr">
        <is>
          <t>2.4%</t>
        </is>
      </c>
      <c r="D7" s="3" t="inlineStr">
        <is>
          <t>≤3%</t>
        </is>
      </c>
    </row>
    <row r="8">
      <c r="A8" s="3" t="inlineStr">
        <is>
          <t>Beta</t>
        </is>
      </c>
      <c r="B8" s="3" t="inlineStr">
        <is>
          <t>0.92</t>
        </is>
      </c>
      <c r="C8" s="3" t="inlineStr">
        <is>
          <t>0.95</t>
        </is>
      </c>
      <c r="D8" s="3" t="inlineStr">
        <is>
          <t>0.85-1.05</t>
        </is>
      </c>
    </row>
    <row r="9">
      <c r="A9" s="3" t="inlineStr">
        <is>
          <t>Information Ratio</t>
        </is>
      </c>
      <c r="B9" s="3" t="inlineStr">
        <is>
          <t>0.32</t>
        </is>
      </c>
      <c r="C9" s="3" t="inlineStr">
        <is>
          <t>0.18</t>
        </is>
      </c>
      <c r="D9" s="3" t="inlineStr">
        <is>
          <t>≥0.25</t>
        </is>
      </c>
    </row>
    <row r="10">
      <c r="A10" s="3" t="inlineStr">
        <is>
          <t>VaR (95%, 月)</t>
        </is>
      </c>
      <c r="B10" s="3" t="inlineStr">
        <is>
          <t>-5.2%</t>
        </is>
      </c>
      <c r="C10" s="3" t="inlineStr">
        <is>
          <t>-5.8%</t>
        </is>
      </c>
      <c r="D10" s="3" t="inlineStr">
        <is>
          <t>≥-7%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</cols>
  <sheetData>
    <row r="1">
      <c r="A1" s="1" t="inlineStr">
        <is>
          <t>📊 過去 12 個月組合報酬</t>
        </is>
      </c>
    </row>
    <row r="2"/>
    <row r="3">
      <c r="A3" s="5" t="inlineStr">
        <is>
          <t>月份</t>
        </is>
      </c>
      <c r="B3" s="5" t="inlineStr">
        <is>
          <t>組合報酬(%)</t>
        </is>
      </c>
      <c r="C3" s="5" t="inlineStr">
        <is>
          <t>基準(60/40)(%)</t>
        </is>
      </c>
    </row>
    <row r="4">
      <c r="A4" s="3" t="inlineStr">
        <is>
          <t>2025-05</t>
        </is>
      </c>
      <c r="B4" s="3" t="n">
        <v>1.2</v>
      </c>
      <c r="C4" s="3" t="n">
        <v>1</v>
      </c>
    </row>
    <row r="5">
      <c r="A5" s="3" t="inlineStr">
        <is>
          <t>2025-06</t>
        </is>
      </c>
      <c r="B5" s="3" t="n">
        <v>0.8</v>
      </c>
      <c r="C5" s="3" t="n">
        <v>0.6</v>
      </c>
    </row>
    <row r="6">
      <c r="A6" s="3" t="inlineStr">
        <is>
          <t>2025-07</t>
        </is>
      </c>
      <c r="B6" s="3" t="n">
        <v>-0.5</v>
      </c>
      <c r="C6" s="3" t="n">
        <v>-0.4</v>
      </c>
    </row>
    <row r="7">
      <c r="A7" s="3" t="inlineStr">
        <is>
          <t>2025-08</t>
        </is>
      </c>
      <c r="B7" s="3" t="n">
        <v>1.8</v>
      </c>
      <c r="C7" s="3" t="n">
        <v>1.5</v>
      </c>
    </row>
    <row r="8">
      <c r="A8" s="3" t="inlineStr">
        <is>
          <t>2025-09</t>
        </is>
      </c>
      <c r="B8" s="3" t="n">
        <v>2.2</v>
      </c>
      <c r="C8" s="3" t="n">
        <v>1.9</v>
      </c>
    </row>
    <row r="9">
      <c r="A9" s="3" t="inlineStr">
        <is>
          <t>2025-10</t>
        </is>
      </c>
      <c r="B9" s="3" t="n">
        <v>-1.1</v>
      </c>
      <c r="C9" s="3" t="n">
        <v>-1</v>
      </c>
    </row>
    <row r="10">
      <c r="A10" s="3" t="inlineStr">
        <is>
          <t>2025-11</t>
        </is>
      </c>
      <c r="B10" s="3" t="n">
        <v>1.5</v>
      </c>
      <c r="C10" s="3" t="n">
        <v>1.3</v>
      </c>
    </row>
    <row r="11">
      <c r="A11" s="3" t="inlineStr">
        <is>
          <t>2025-12</t>
        </is>
      </c>
      <c r="B11" s="3" t="n">
        <v>2.8</v>
      </c>
      <c r="C11" s="3" t="n">
        <v>2.4</v>
      </c>
    </row>
    <row r="12">
      <c r="A12" s="3" t="inlineStr">
        <is>
          <t>2026-01</t>
        </is>
      </c>
      <c r="B12" s="3" t="n">
        <v>0.9</v>
      </c>
      <c r="C12" s="3" t="n">
        <v>0.7</v>
      </c>
    </row>
    <row r="13">
      <c r="A13" s="3" t="inlineStr">
        <is>
          <t>2026-02</t>
        </is>
      </c>
      <c r="B13" s="3" t="n">
        <v>1.3</v>
      </c>
      <c r="C13" s="3" t="n">
        <v>1.1</v>
      </c>
    </row>
    <row r="14">
      <c r="A14" s="3" t="inlineStr">
        <is>
          <t>2026-03</t>
        </is>
      </c>
      <c r="B14" s="3" t="n">
        <v>2.1</v>
      </c>
      <c r="C14" s="3" t="n">
        <v>1.8</v>
      </c>
    </row>
    <row r="15">
      <c r="A15" s="3" t="inlineStr">
        <is>
          <t>2026-04</t>
        </is>
      </c>
      <c r="B15" s="3" t="n">
        <v>0.4</v>
      </c>
      <c r="C15" s="3" t="n">
        <v>0.3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2026-05-05T05:30:39Z</dcterms:created>
  <dcterms:modified xmlns:dcterms="http://purl.org/dc/terms/" xmlns:xsi="http://www.w3.org/2001/XMLSchema-instance" xsi:type="dcterms:W3CDTF">2026-05-05T05:30:39Z</dcterms:modified>
</cp:coreProperties>
</file>