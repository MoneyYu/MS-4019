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三年路徑" sheetId="1" state="visible" r:id="rId1"/>
    <sheet xmlns:r="http://schemas.openxmlformats.org/officeDocument/2006/relationships" name="NPS 旅程" sheetId="2" state="visible" r:id="rId2"/>
    <sheet xmlns:r="http://schemas.openxmlformats.org/officeDocument/2006/relationships" name="投資 RO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JhengHei"/>
      <b val="1"/>
      <color rgb="00006633"/>
      <sz val="14"/>
    </font>
    <font>
      <name val="Microsoft JhengHei"/>
      <b val="1"/>
      <color rgb="00FFFFFF"/>
      <sz val="11"/>
    </font>
    <font>
      <name val="Microsoft JhengHei"/>
      <sz val="10"/>
    </font>
  </fonts>
  <fills count="5">
    <fill>
      <patternFill/>
    </fill>
    <fill>
      <patternFill patternType="gray125"/>
    </fill>
    <fill>
      <patternFill patternType="solid">
        <fgColor rgb="00006633"/>
        <bgColor rgb="00006633"/>
      </patternFill>
    </fill>
    <fill>
      <patternFill patternType="solid">
        <fgColor rgb="00C55A11"/>
        <bgColor rgb="00C55A11"/>
      </patternFill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三年路徑關鍵指標進度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'三年路徑'!B3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'三年路徑'!$A$4:$A$10</f>
            </numRef>
          </cat>
          <val>
            <numRef>
              <f>'三年路徑'!$B$4:$B$10</f>
            </numRef>
          </val>
        </ser>
        <ser>
          <idx val="1"/>
          <order val="1"/>
          <tx>
            <strRef>
              <f>'三年路徑'!C3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'三年路徑'!$A$4:$A$10</f>
            </numRef>
          </cat>
          <val>
            <numRef>
              <f>'三年路徑'!$C$4:$C$10</f>
            </numRef>
          </val>
        </ser>
        <ser>
          <idx val="2"/>
          <order val="2"/>
          <tx>
            <strRef>
              <f>'三年路徑'!D3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'三年路徑'!$A$4:$A$10</f>
            </numRef>
          </cat>
          <val>
            <numRef>
              <f>'三年路徑'!$D$4:$D$10</f>
            </numRef>
          </val>
        </ser>
        <ser>
          <idx val="3"/>
          <order val="3"/>
          <tx>
            <strRef>
              <f>'三年路徑'!E3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'三年路徑'!$A$4:$A$10</f>
            </numRef>
          </cat>
          <val>
            <numRef>
              <f>'三年路徑'!$E$4:$E$10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客戶旅程 NPS</a:t>
            </a:r>
          </a:p>
        </rich>
      </tx>
    </title>
    <plotArea>
      <lineChart>
        <grouping val="standard"/>
        <ser>
          <idx val="0"/>
          <order val="0"/>
          <tx>
            <strRef>
              <f>'NPS 旅程'!B3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'NPS 旅程'!$A$4:$A$11</f>
            </numRef>
          </cat>
          <val>
            <numRef>
              <f>'NPS 旅程'!$B$4:$B$11</f>
            </numRef>
          </val>
        </ser>
        <ser>
          <idx val="1"/>
          <order val="1"/>
          <tx>
            <strRef>
              <f>'NPS 旅程'!C3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'NPS 旅程'!$A$4:$A$11</f>
            </numRef>
          </cat>
          <val>
            <numRef>
              <f>'NPS 旅程'!$C$4:$C$11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006633"/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  <col width="11" customWidth="1" min="4" max="4"/>
    <col width="11" customWidth="1" min="5" max="5"/>
  </cols>
  <sheetData>
    <row r="1">
      <c r="A1" s="1" t="inlineStr">
        <is>
          <t>🚀 國泰集團 2026-2028 數位轉型關鍵指標</t>
        </is>
      </c>
    </row>
    <row r="2"/>
    <row r="3">
      <c r="A3" s="2" t="inlineStr">
        <is>
          <t>指標</t>
        </is>
      </c>
      <c r="B3" s="2" t="inlineStr">
        <is>
          <t>2024 基準</t>
        </is>
      </c>
      <c r="C3" s="2" t="inlineStr">
        <is>
          <t>2025 實績</t>
        </is>
      </c>
      <c r="D3" s="2" t="inlineStr">
        <is>
          <t>2026 目標</t>
        </is>
      </c>
      <c r="E3" s="2" t="inlineStr">
        <is>
          <t>2028 願景</t>
        </is>
      </c>
    </row>
    <row r="4">
      <c r="A4" s="3" t="inlineStr">
        <is>
          <t>雲端化比率(%)</t>
        </is>
      </c>
      <c r="B4" s="3" t="n">
        <v>18</v>
      </c>
      <c r="C4" s="3" t="n">
        <v>32</v>
      </c>
      <c r="D4" s="3" t="n">
        <v>55</v>
      </c>
      <c r="E4" s="3" t="n">
        <v>90</v>
      </c>
    </row>
    <row r="5">
      <c r="A5" s="3" t="inlineStr">
        <is>
          <t>數位通路 MAU(萬)</t>
        </is>
      </c>
      <c r="B5" s="3" t="n">
        <v>382</v>
      </c>
      <c r="C5" s="3" t="n">
        <v>495</v>
      </c>
      <c r="D5" s="3" t="n">
        <v>620</v>
      </c>
      <c r="E5" s="3" t="n">
        <v>920</v>
      </c>
    </row>
    <row r="6">
      <c r="A6" s="3" t="inlineStr">
        <is>
          <t>集團 NPS</t>
        </is>
      </c>
      <c r="B6" s="3" t="n">
        <v>53</v>
      </c>
      <c r="C6" s="3" t="n">
        <v>57</v>
      </c>
      <c r="D6" s="3" t="n">
        <v>60</v>
      </c>
      <c r="E6" s="3" t="n">
        <v>68</v>
      </c>
    </row>
    <row r="7">
      <c r="A7" s="3" t="inlineStr">
        <is>
          <t>數位通路收入佔比(%)</t>
        </is>
      </c>
      <c r="B7" s="3" t="n">
        <v>22</v>
      </c>
      <c r="C7" s="3" t="n">
        <v>31</v>
      </c>
      <c r="D7" s="3" t="n">
        <v>42</v>
      </c>
      <c r="E7" s="3" t="n">
        <v>65</v>
      </c>
    </row>
    <row r="8">
      <c r="A8" s="3" t="inlineStr">
        <is>
          <t>AI 案件覆蓋率(%)</t>
        </is>
      </c>
      <c r="B8" s="3" t="n">
        <v>8</v>
      </c>
      <c r="C8" s="3" t="n">
        <v>21</v>
      </c>
      <c r="D8" s="3" t="n">
        <v>45</v>
      </c>
      <c r="E8" s="3" t="n">
        <v>80</v>
      </c>
    </row>
    <row r="9">
      <c r="A9" s="3" t="inlineStr">
        <is>
          <t>IT 雲遷移完成(%)</t>
        </is>
      </c>
      <c r="B9" s="3" t="n">
        <v>12</v>
      </c>
      <c r="C9" s="3" t="n">
        <v>28</v>
      </c>
      <c r="D9" s="3" t="n">
        <v>50</v>
      </c>
      <c r="E9" s="3" t="n">
        <v>95</v>
      </c>
    </row>
    <row r="10">
      <c r="A10" s="3" t="inlineStr">
        <is>
          <t>Open API 數</t>
        </is>
      </c>
      <c r="B10" s="3" t="n">
        <v>52</v>
      </c>
      <c r="C10" s="3" t="n">
        <v>84</v>
      </c>
      <c r="D10" s="3" t="n">
        <v>130</v>
      </c>
      <c r="E10" s="3" t="n">
        <v>280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FFC000"/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🗺️ 客戶旅程八階段 NPS 對比</t>
        </is>
      </c>
    </row>
    <row r="2"/>
    <row r="3">
      <c r="A3" s="4" t="inlineStr">
        <is>
          <t>階段</t>
        </is>
      </c>
      <c r="B3" s="4" t="inlineStr">
        <is>
          <t>本集團</t>
        </is>
      </c>
      <c r="C3" s="4" t="inlineStr">
        <is>
          <t>業界平均</t>
        </is>
      </c>
      <c r="D3" s="4" t="inlineStr">
        <is>
          <t>Gap</t>
        </is>
      </c>
    </row>
    <row r="4">
      <c r="A4" s="3" t="inlineStr">
        <is>
          <t>1 認知</t>
        </is>
      </c>
      <c r="B4" s="3" t="n">
        <v>32</v>
      </c>
      <c r="C4" s="3" t="n">
        <v>28</v>
      </c>
      <c r="D4" s="3" t="n">
        <v>4</v>
      </c>
    </row>
    <row r="5">
      <c r="A5" s="3" t="inlineStr">
        <is>
          <t>2 比較</t>
        </is>
      </c>
      <c r="B5" s="3" t="n">
        <v>48</v>
      </c>
      <c r="C5" s="3" t="n">
        <v>45</v>
      </c>
      <c r="D5" s="3" t="n">
        <v>3</v>
      </c>
    </row>
    <row r="6">
      <c r="A6" s="3" t="inlineStr">
        <is>
          <t>3 簽約</t>
        </is>
      </c>
      <c r="B6" s="3" t="n">
        <v>61</v>
      </c>
      <c r="C6" s="3" t="n">
        <v>52</v>
      </c>
      <c r="D6" s="3" t="n">
        <v>9</v>
      </c>
    </row>
    <row r="7">
      <c r="A7" s="3" t="inlineStr">
        <is>
          <t>4 上手</t>
        </is>
      </c>
      <c r="B7" s="3" t="n">
        <v>55</v>
      </c>
      <c r="C7" s="3" t="n">
        <v>48</v>
      </c>
      <c r="D7" s="3" t="n">
        <v>7</v>
      </c>
    </row>
    <row r="8">
      <c r="A8" s="3" t="inlineStr">
        <is>
          <t>5 使用</t>
        </is>
      </c>
      <c r="B8" s="3" t="n">
        <v>58</v>
      </c>
      <c r="C8" s="3" t="n">
        <v>52</v>
      </c>
      <c r="D8" s="3" t="n">
        <v>6</v>
      </c>
    </row>
    <row r="9">
      <c r="A9" s="3" t="inlineStr">
        <is>
          <t>6 服務</t>
        </is>
      </c>
      <c r="B9" s="3" t="n">
        <v>44</v>
      </c>
      <c r="C9" s="3" t="n">
        <v>42</v>
      </c>
      <c r="D9" s="3" t="n">
        <v>2</v>
      </c>
    </row>
    <row r="10">
      <c r="A10" s="3" t="inlineStr">
        <is>
          <t>7 變更</t>
        </is>
      </c>
      <c r="B10" s="3" t="n">
        <v>38</v>
      </c>
      <c r="C10" s="3" t="n">
        <v>41</v>
      </c>
      <c r="D10" s="3" t="n">
        <v>-3</v>
      </c>
    </row>
    <row r="11">
      <c r="A11" s="3" t="inlineStr">
        <is>
          <t>8 終止</t>
        </is>
      </c>
      <c r="B11" s="3" t="n">
        <v>62</v>
      </c>
      <c r="C11" s="3" t="n">
        <v>55</v>
      </c>
      <c r="D11" s="3" t="n">
        <v>7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5B9BD5"/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💰 三年投資 vs. 預期效益（億 NTD）</t>
        </is>
      </c>
    </row>
    <row r="2"/>
    <row r="3">
      <c r="A3" s="5" t="inlineStr">
        <is>
          <t>項目</t>
        </is>
      </c>
      <c r="B3" s="5" t="inlineStr">
        <is>
          <t>2026</t>
        </is>
      </c>
      <c r="C3" s="5" t="inlineStr">
        <is>
          <t>2027</t>
        </is>
      </c>
      <c r="D3" s="5" t="inlineStr">
        <is>
          <t>2028</t>
        </is>
      </c>
    </row>
    <row r="4">
      <c r="A4" s="3" t="inlineStr">
        <is>
          <t>雲端基礎建設投資</t>
        </is>
      </c>
      <c r="B4" s="3" t="n">
        <v>6.8</v>
      </c>
      <c r="C4" s="3" t="n">
        <v>8.199999999999999</v>
      </c>
      <c r="D4" s="3" t="n">
        <v>9.5</v>
      </c>
    </row>
    <row r="5">
      <c r="A5" s="3" t="inlineStr">
        <is>
          <t>AI / GenAI 投資</t>
        </is>
      </c>
      <c r="B5" s="3" t="n">
        <v>4.2</v>
      </c>
      <c r="C5" s="3" t="n">
        <v>6.5</v>
      </c>
      <c r="D5" s="3" t="n">
        <v>8.800000000000001</v>
      </c>
    </row>
    <row r="6">
      <c r="A6" s="3" t="inlineStr">
        <is>
          <t>資安治理投資</t>
        </is>
      </c>
      <c r="B6" s="3" t="n">
        <v>2.5</v>
      </c>
      <c r="C6" s="3" t="n">
        <v>3.2</v>
      </c>
      <c r="D6" s="3" t="n">
        <v>4</v>
      </c>
    </row>
    <row r="7">
      <c r="A7" s="3" t="inlineStr">
        <is>
          <t>合計投資</t>
        </is>
      </c>
      <c r="B7" s="3" t="n">
        <v>13.5</v>
      </c>
      <c r="C7" s="3" t="n">
        <v>17.9</v>
      </c>
      <c r="D7" s="3" t="n">
        <v>22.3</v>
      </c>
    </row>
    <row r="8">
      <c r="A8" s="3" t="inlineStr">
        <is>
          <t>預期年化效益</t>
        </is>
      </c>
      <c r="B8" s="3" t="n">
        <v>8.5</v>
      </c>
      <c r="C8" s="3" t="n">
        <v>18.4</v>
      </c>
      <c r="D8" s="3" t="n">
        <v>32.6</v>
      </c>
    </row>
    <row r="9">
      <c r="A9" s="3" t="inlineStr">
        <is>
          <t>累積 ROI(%)</t>
        </is>
      </c>
      <c r="B9" s="3" t="n">
        <v>63</v>
      </c>
      <c r="C9" s="3" t="n">
        <v>102</v>
      </c>
      <c r="D9" s="3" t="n">
        <v>146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2026-05-05T05:30:39Z</dcterms:created>
  <dcterms:modified xmlns:dcterms="http://purl.org/dc/terms/" xmlns:xsi="http://www.w3.org/2001/XMLSchema-instance" xsi:type="dcterms:W3CDTF">2026-05-05T05:30:39Z</dcterms:modified>
</cp:coreProperties>
</file>