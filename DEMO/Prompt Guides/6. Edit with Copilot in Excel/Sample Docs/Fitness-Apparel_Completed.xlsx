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Copilot Work/MS-4019-lite/Prompt Guides/6. Edit with Copilot in Excel/Sample Docs/"/>
    </mc:Choice>
  </mc:AlternateContent>
  <xr:revisionPtr revIDLastSave="0" documentId="8_{0E9918E4-BF81-4B40-BA6E-AEB52C1E0ADA}" xr6:coauthVersionLast="47" xr6:coauthVersionMax="47" xr10:uidLastSave="{00000000-0000-0000-0000-000000000000}"/>
  <bookViews>
    <workbookView xWindow="10485" yWindow="1710" windowWidth="33945" windowHeight="19035" xr2:uid="{CB25023A-6D17-4835-B190-B67D25D0A7C7}"/>
  </bookViews>
  <sheets>
    <sheet name="Assumptions" sheetId="1" r:id="rId1"/>
    <sheet name="Revenue" sheetId="2" r:id="rId2"/>
    <sheet name="Expenses" sheetId="3" r:id="rId3"/>
    <sheet name="P&amp;L Summary" sheetId="4" r:id="rId4"/>
  </sheet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3" i="4" l="1"/>
  <c r="M53" i="4"/>
  <c r="L53" i="4"/>
  <c r="K53" i="4"/>
  <c r="J53" i="4"/>
  <c r="I53" i="4"/>
  <c r="H53" i="4"/>
  <c r="G53" i="4"/>
  <c r="F53" i="4"/>
  <c r="E53" i="4"/>
  <c r="D53" i="4"/>
  <c r="C53" i="4"/>
  <c r="B53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3" i="4"/>
  <c r="M43" i="4"/>
  <c r="L43" i="4"/>
  <c r="K43" i="4"/>
  <c r="J43" i="4"/>
  <c r="I43" i="4"/>
  <c r="H43" i="4"/>
  <c r="G43" i="4"/>
  <c r="F43" i="4"/>
  <c r="E43" i="4"/>
  <c r="D43" i="4"/>
  <c r="C43" i="4"/>
  <c r="N39" i="4"/>
  <c r="D39" i="4"/>
  <c r="E39" i="4"/>
  <c r="F39" i="4"/>
  <c r="G39" i="4"/>
  <c r="H39" i="4"/>
  <c r="I39" i="4"/>
  <c r="J39" i="4"/>
  <c r="K39" i="4"/>
  <c r="L39" i="4"/>
  <c r="M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8" i="3"/>
  <c r="M8" i="3"/>
  <c r="L8" i="3"/>
  <c r="K8" i="3"/>
  <c r="J8" i="3"/>
  <c r="I8" i="3"/>
  <c r="H8" i="3"/>
  <c r="G8" i="3"/>
  <c r="F8" i="3"/>
  <c r="E8" i="3"/>
  <c r="D8" i="3"/>
  <c r="C8" i="3"/>
  <c r="B8" i="3"/>
  <c r="N7" i="3"/>
  <c r="M7" i="3"/>
  <c r="L7" i="3"/>
  <c r="K7" i="3"/>
  <c r="J7" i="3"/>
  <c r="I7" i="3"/>
  <c r="H7" i="3"/>
  <c r="G7" i="3"/>
  <c r="F7" i="3"/>
  <c r="E7" i="3"/>
  <c r="D7" i="3"/>
  <c r="C7" i="3"/>
  <c r="B7" i="3"/>
  <c r="N6" i="3"/>
  <c r="M6" i="3"/>
  <c r="L6" i="3"/>
  <c r="K6" i="3"/>
  <c r="J6" i="3"/>
  <c r="I6" i="3"/>
  <c r="H6" i="3"/>
  <c r="G6" i="3"/>
  <c r="F6" i="3"/>
  <c r="E6" i="3"/>
  <c r="D6" i="3"/>
  <c r="C6" i="3"/>
  <c r="B6" i="3"/>
  <c r="N5" i="3"/>
  <c r="M5" i="3"/>
  <c r="L5" i="3"/>
  <c r="K5" i="3"/>
  <c r="J5" i="3"/>
  <c r="I5" i="3"/>
  <c r="H5" i="3"/>
  <c r="G5" i="3"/>
  <c r="F5" i="3"/>
  <c r="E5" i="3"/>
  <c r="D5" i="3"/>
  <c r="C5" i="3"/>
  <c r="B5" i="3"/>
  <c r="N4" i="3"/>
  <c r="M4" i="3"/>
  <c r="L4" i="3"/>
  <c r="K4" i="3"/>
  <c r="J4" i="3"/>
  <c r="I4" i="3"/>
  <c r="H4" i="3"/>
  <c r="G4" i="3"/>
  <c r="F4" i="3"/>
  <c r="E4" i="3"/>
  <c r="D4" i="3"/>
  <c r="C4" i="3"/>
  <c r="B4" i="3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8" i="2"/>
  <c r="D8" i="2"/>
  <c r="E8" i="2"/>
  <c r="F8" i="2"/>
  <c r="G8" i="2"/>
  <c r="H8" i="2"/>
  <c r="I8" i="2"/>
  <c r="J8" i="2"/>
  <c r="K8" i="2"/>
  <c r="L8" i="2"/>
  <c r="M8" i="2"/>
  <c r="C8" i="2"/>
  <c r="B8" i="2"/>
  <c r="N7" i="2"/>
  <c r="M7" i="2"/>
  <c r="L7" i="2"/>
  <c r="K7" i="2"/>
  <c r="J7" i="2"/>
  <c r="I7" i="2"/>
  <c r="H7" i="2"/>
  <c r="G7" i="2"/>
  <c r="F7" i="2"/>
  <c r="E7" i="2"/>
  <c r="D7" i="2"/>
  <c r="C7" i="2"/>
  <c r="B7" i="2"/>
  <c r="N6" i="2"/>
  <c r="M6" i="2"/>
  <c r="L6" i="2"/>
  <c r="K6" i="2"/>
  <c r="J6" i="2"/>
  <c r="I6" i="2"/>
  <c r="H6" i="2"/>
  <c r="G6" i="2"/>
  <c r="F6" i="2"/>
  <c r="E6" i="2"/>
  <c r="D6" i="2"/>
  <c r="C6" i="2"/>
  <c r="B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B4" i="2"/>
  <c r="B19" i="1"/>
  <c r="B9" i="1"/>
  <c r="B7" i="1"/>
  <c r="B6" i="1"/>
</calcChain>
</file>

<file path=xl/sharedStrings.xml><?xml version="1.0" encoding="utf-8"?>
<sst xmlns="http://schemas.openxmlformats.org/spreadsheetml/2006/main" count="219" uniqueCount="167">
  <si>
    <t>FITNESS APPAREL CO. — KEY ASSUMPTIONS</t>
  </si>
  <si>
    <t>PRODUCT &amp; PRICING</t>
  </si>
  <si>
    <t>Average Selling Price (ASP)</t>
  </si>
  <si>
    <t>$/unit</t>
  </si>
  <si>
    <t>Blended across product mix</t>
  </si>
  <si>
    <t>Cost of Goods Sold (COGS) per Unit</t>
  </si>
  <si>
    <t>Materials + manufacturing</t>
  </si>
  <si>
    <t>Gross Margin per Unit</t>
  </si>
  <si>
    <t>ASP minus COGS</t>
  </si>
  <si>
    <t>Gross Margin %</t>
  </si>
  <si>
    <t>%</t>
  </si>
  <si>
    <t>Margin as % of ASP</t>
  </si>
  <si>
    <t>Average Units per Order</t>
  </si>
  <si>
    <t>units</t>
  </si>
  <si>
    <t>Basket size assumption</t>
  </si>
  <si>
    <t>Average Order Value (AOV)</t>
  </si>
  <si>
    <t>$</t>
  </si>
  <si>
    <t>ASP × Units per Order</t>
  </si>
  <si>
    <t>Return Rate</t>
  </si>
  <si>
    <t>Industry avg for apparel</t>
  </si>
  <si>
    <t>CUSTOMER ACQUISITION</t>
  </si>
  <si>
    <t>Starting Monthly New Customers (Jan 2026)</t>
  </si>
  <si>
    <t>customers</t>
  </si>
  <si>
    <t>Launch month baseline</t>
  </si>
  <si>
    <t>Monthly New Customer Growth Rate</t>
  </si>
  <si>
    <t>%/month</t>
  </si>
  <si>
    <t>Month-over-month growth</t>
  </si>
  <si>
    <t>Customer Acquisition Cost (CAC)</t>
  </si>
  <si>
    <t>Blended paid + organic</t>
  </si>
  <si>
    <t>Organic Acquisition Share</t>
  </si>
  <si>
    <t>% of new customers from organic</t>
  </si>
  <si>
    <t>Paid CAC</t>
  </si>
  <si>
    <t>Paid channel CAC</t>
  </si>
  <si>
    <t>Organic CAC</t>
  </si>
  <si>
    <t>SEO, referrals, word-of-mouth</t>
  </si>
  <si>
    <t>Blended CAC (calculated)</t>
  </si>
  <si>
    <t>Weighted average</t>
  </si>
  <si>
    <t>RETENTION &amp; REPEAT PURCHASES</t>
  </si>
  <si>
    <t>Month-1 Retention Rate</t>
  </si>
  <si>
    <t>% of new customers who buy again next month</t>
  </si>
  <si>
    <t>Steady-State Retention Rate</t>
  </si>
  <si>
    <t>Monthly retention of existing repeat customers</t>
  </si>
  <si>
    <t>Repeat Customer AOV Uplift</t>
  </si>
  <si>
    <t>Repeat customers spend 10% more</t>
  </si>
  <si>
    <t>OPERATING EXPENSES</t>
  </si>
  <si>
    <t>Monthly Retail Space Rent</t>
  </si>
  <si>
    <t>Flagship retail location</t>
  </si>
  <si>
    <t>Retail Utilities &amp; Insurance</t>
  </si>
  <si>
    <t>Monthly fixed</t>
  </si>
  <si>
    <t>Warehouse / Fulfillment</t>
  </si>
  <si>
    <t>3PL base + variable below</t>
  </si>
  <si>
    <t>Fulfillment Cost per Order</t>
  </si>
  <si>
    <t>$/order</t>
  </si>
  <si>
    <t>Pick, pack, ship</t>
  </si>
  <si>
    <t>Starting Headcount</t>
  </si>
  <si>
    <t>employees</t>
  </si>
  <si>
    <t>Founders + early team</t>
  </si>
  <si>
    <t>Average Monthly Salary per Employee</t>
  </si>
  <si>
    <t>Blended avg</t>
  </si>
  <si>
    <t>Salary Growth Rate (quarterly step)</t>
  </si>
  <si>
    <t>3% raise each quarter</t>
  </si>
  <si>
    <t>Headcount Additions per Quarter</t>
  </si>
  <si>
    <t>Hiring plan</t>
  </si>
  <si>
    <t>Marketing Spend as % of Revenue</t>
  </si>
  <si>
    <t>Paid ads, influencers, content</t>
  </si>
  <si>
    <t>Minimum Monthly Marketing Spend</t>
  </si>
  <si>
    <t>Floor for brand building</t>
  </si>
  <si>
    <t>Software &amp; Tools</t>
  </si>
  <si>
    <t>Shopify, analytics, CRM</t>
  </si>
  <si>
    <t>Professional Services (Legal/Acct)</t>
  </si>
  <si>
    <t>Monthly retainer</t>
  </si>
  <si>
    <t>Miscellaneous / Contingency</t>
  </si>
  <si>
    <t>Buffer</t>
  </si>
  <si>
    <t>INVENTORY MANAGEMENT</t>
  </si>
  <si>
    <t>Opening Inventory (units)</t>
  </si>
  <si>
    <t>Pre-launch stock</t>
  </si>
  <si>
    <t>Inventory Safety Stock (months of supply)</t>
  </si>
  <si>
    <t>months</t>
  </si>
  <si>
    <t>Buffer stock target</t>
  </si>
  <si>
    <t>Inventory Shrinkage Rate</t>
  </si>
  <si>
    <t>Damage, loss, obsolescence</t>
  </si>
  <si>
    <t>Reorder Lead Time</t>
  </si>
  <si>
    <t>Time to replenish</t>
  </si>
  <si>
    <t>TAX &amp; OTHER</t>
  </si>
  <si>
    <t>Effective Tax Rate</t>
  </si>
  <si>
    <t>Federal + state blended</t>
  </si>
  <si>
    <t>Depreciation (monthly)</t>
  </si>
  <si>
    <t>Equipment &amp; fixtures</t>
  </si>
  <si>
    <t>FITNESS APPAREL CO. — REVENUE MODEL (12-MONTH FORECAST)</t>
  </si>
  <si>
    <t>Metric</t>
  </si>
  <si>
    <t>TOTAL / AVG</t>
  </si>
  <si>
    <t>CUSTOMER METRICS</t>
  </si>
  <si>
    <t>New Customers</t>
  </si>
  <si>
    <t>Returning Customers</t>
  </si>
  <si>
    <t>Total Active Customers</t>
  </si>
  <si>
    <t>Retention Rate (%)</t>
  </si>
  <si>
    <t>Cumulative Unique Customers</t>
  </si>
  <si>
    <t>ORDER METRICS</t>
  </si>
  <si>
    <t>Total Orders</t>
  </si>
  <si>
    <t>New Customer Orders</t>
  </si>
  <si>
    <t>Repeat Customer Orders</t>
  </si>
  <si>
    <t>Total Units Sold</t>
  </si>
  <si>
    <t>Returns (units)</t>
  </si>
  <si>
    <t>Net Units Sold</t>
  </si>
  <si>
    <t>REVENUE</t>
  </si>
  <si>
    <t>Gross Revenue</t>
  </si>
  <si>
    <t>Less: Returns</t>
  </si>
  <si>
    <t>Net Revenue</t>
  </si>
  <si>
    <t>Revenue Growth (MoM)</t>
  </si>
  <si>
    <t>—</t>
  </si>
  <si>
    <t>UNIT ECONOMICS</t>
  </si>
  <si>
    <t>COGS (Cost of Goods Sold)</t>
  </si>
  <si>
    <t>Gross Profit</t>
  </si>
  <si>
    <t>Revenue per Customer</t>
  </si>
  <si>
    <t>Customer Acquisition Cost</t>
  </si>
  <si>
    <t>LTV:CAC Ratio</t>
  </si>
  <si>
    <t>FITNESS APPAREL CO. — OPERATING EXPENSES (12-MONTH FORECAST)</t>
  </si>
  <si>
    <t>Expense Category</t>
  </si>
  <si>
    <t>TOTAL</t>
  </si>
  <si>
    <t>INVENTORY &amp; COGS</t>
  </si>
  <si>
    <t>Cost of Goods Sold</t>
  </si>
  <si>
    <t>Inventory Shrinkage</t>
  </si>
  <si>
    <t>Fulfillment (Variable)</t>
  </si>
  <si>
    <t>Warehouse / Fulfillment (Fixed)</t>
  </si>
  <si>
    <t>Total Inventory &amp; COGS</t>
  </si>
  <si>
    <t>RETAIL SPACE</t>
  </si>
  <si>
    <t>Rent</t>
  </si>
  <si>
    <t>Utilities &amp; Insurance</t>
  </si>
  <si>
    <t>Total Retail Space</t>
  </si>
  <si>
    <t>SALARIES &amp; PERSONNEL</t>
  </si>
  <si>
    <t>Headcount</t>
  </si>
  <si>
    <t>Avg Salary / Employee</t>
  </si>
  <si>
    <t>Total Salaries</t>
  </si>
  <si>
    <t>MARKETING</t>
  </si>
  <si>
    <t>Marketing Spend (% of Rev)</t>
  </si>
  <si>
    <t>Customer Acquisition Spend</t>
  </si>
  <si>
    <t>Total Marketing</t>
  </si>
  <si>
    <t>OTHER OPERATING EXPENSES</t>
  </si>
  <si>
    <t>Professional Services</t>
  </si>
  <si>
    <t>Depreciation</t>
  </si>
  <si>
    <t>Total Other OpEx</t>
  </si>
  <si>
    <t>TOTAL OPERATING EXPENSES</t>
  </si>
  <si>
    <t>FITNESS APPAREL CO. — PROFIT &amp; LOSS STATEMENT (JAN – DEC 2026)</t>
  </si>
  <si>
    <t>FULL YEAR</t>
  </si>
  <si>
    <t>COST OF GOODS SOLD</t>
  </si>
  <si>
    <t>COGS</t>
  </si>
  <si>
    <t>Total COGS</t>
  </si>
  <si>
    <t>GROSS PROFIT</t>
  </si>
  <si>
    <t>Retail Space</t>
  </si>
  <si>
    <t>Warehouse (Fixed)</t>
  </si>
  <si>
    <t>Miscellaneous</t>
  </si>
  <si>
    <t>Total Operating Expenses</t>
  </si>
  <si>
    <t>EBITDA</t>
  </si>
  <si>
    <t>EBITDA Margin %</t>
  </si>
  <si>
    <t>OPERATING INCOME (EBIT)</t>
  </si>
  <si>
    <t>Operating Margin %</t>
  </si>
  <si>
    <t>TAX &amp; NET INCOME</t>
  </si>
  <si>
    <t>Income Tax (if profitable)</t>
  </si>
  <si>
    <t>NET INCOME</t>
  </si>
  <si>
    <t>Net Margin %</t>
  </si>
  <si>
    <t>Cumulative Net Income</t>
  </si>
  <si>
    <t>KEY PERFORMANCE INDICATORS</t>
  </si>
  <si>
    <t>KPI</t>
  </si>
  <si>
    <t>Customer Retention Rate</t>
  </si>
  <si>
    <t>Repeat Customer Mix %</t>
  </si>
  <si>
    <t>Marketing as % of Revenue</t>
  </si>
  <si>
    <t>Revenue per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</si>
</sst>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$&quot;#,##0.00"/>
    <numFmt numFmtId="166" formatCode="&quot;$&quot;#,##0"/>
    <numFmt numFmtId="167" formatCode="0.00\x"/>
    <numFmt numFmtId="168" formatCode="&quot;$&quot;#,##0;[Red]\(&quot;$&quot;#,##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666666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4" borderId="0" xfId="0" applyFont="1" applyFill="1"/>
    <xf numFmtId="16" fontId="7" fillId="4" borderId="0" xfId="0" applyNumberFormat="1" applyFont="1" applyFill="1"/>
    <xf numFmtId="167" fontId="0" fillId="0" borderId="0" xfId="0" applyNumberFormat="1"/>
    <xf numFmtId="3" fontId="0" fillId="0" borderId="0" xfId="0" applyNumberFormat="1"/>
    <xf numFmtId="166" fontId="1" fillId="0" borderId="0" xfId="0" applyNumberFormat="1" applyFont="1"/>
    <xf numFmtId="0" fontId="1" fillId="5" borderId="0" xfId="0" applyFont="1" applyFill="1"/>
    <xf numFmtId="166" fontId="1" fillId="5" borderId="0" xfId="0" applyNumberFormat="1" applyFont="1" applyFill="1"/>
    <xf numFmtId="0" fontId="0" fillId="3" borderId="0" xfId="0" applyFill="1"/>
    <xf numFmtId="0" fontId="1" fillId="0" borderId="1" xfId="0" applyFont="1" applyBorder="1"/>
    <xf numFmtId="0" fontId="1" fillId="6" borderId="0" xfId="0" applyFont="1" applyFill="1"/>
    <xf numFmtId="0" fontId="1" fillId="7" borderId="0" xfId="0" applyFont="1" applyFill="1"/>
    <xf numFmtId="0" fontId="8" fillId="8" borderId="2" xfId="0" applyFont="1" applyFill="1" applyBorder="1"/>
    <xf numFmtId="166" fontId="1" fillId="0" borderId="1" xfId="0" applyNumberFormat="1" applyFont="1" applyBorder="1"/>
    <xf numFmtId="166" fontId="1" fillId="6" borderId="0" xfId="0" applyNumberFormat="1" applyFont="1" applyFill="1"/>
    <xf numFmtId="0" fontId="0" fillId="9" borderId="0" xfId="0" applyFill="1"/>
    <xf numFmtId="164" fontId="0" fillId="9" borderId="0" xfId="0" applyNumberFormat="1" applyFill="1"/>
    <xf numFmtId="165" fontId="0" fillId="9" borderId="0" xfId="0" applyNumberFormat="1" applyFill="1"/>
    <xf numFmtId="166" fontId="0" fillId="9" borderId="0" xfId="0" applyNumberFormat="1" applyFill="1"/>
    <xf numFmtId="168" fontId="8" fillId="8" borderId="2" xfId="0" applyNumberFormat="1" applyFont="1" applyFill="1" applyBorder="1"/>
    <xf numFmtId="168" fontId="0" fillId="0" borderId="0" xfId="0" applyNumberFormat="1"/>
    <xf numFmtId="168" fontId="1" fillId="6" borderId="0" xfId="0" applyNumberFormat="1" applyFont="1" applyFill="1"/>
    <xf numFmtId="168" fontId="1" fillId="7" borderId="0" xfId="0" applyNumberFormat="1" applyFont="1" applyFill="1"/>
    <xf numFmtId="0" fontId="4" fillId="3" borderId="0" xfId="0" applyFont="1" applyFill="1"/>
    <xf numFmtId="0" fontId="0" fillId="0" borderId="0" xfId="0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5602-C901-4ED0-A44F-231DC712ADD9}">
  <dimension ref="A1:D49"/>
  <sheetViews>
    <sheetView tabSelected="1" workbookViewId="0">
      <selection sqref="A1:D1"/>
    </sheetView>
  </sheetViews>
  <sheetFormatPr defaultRowHeight="15" x14ac:dyDescent="0.25"/>
  <cols>
    <col min="1" max="1" width="53.28515625" customWidth="1"/>
    <col min="2" max="2" width="19" customWidth="1"/>
    <col min="3" max="3" width="15.28515625" customWidth="1"/>
    <col min="4" max="4" width="41.85546875" customWidth="1"/>
  </cols>
  <sheetData>
    <row r="1" spans="1:4" ht="18.75" x14ac:dyDescent="0.3">
      <c r="A1" s="35" t="s">
        <v>0</v>
      </c>
      <c r="B1" s="36"/>
      <c r="C1" s="36"/>
      <c r="D1" s="36"/>
    </row>
    <row r="3" spans="1:4" x14ac:dyDescent="0.25">
      <c r="A3" s="37" t="s">
        <v>1</v>
      </c>
      <c r="B3" s="32"/>
      <c r="C3" s="32"/>
      <c r="D3" s="32"/>
    </row>
    <row r="4" spans="1:4" x14ac:dyDescent="0.25">
      <c r="A4" s="5" t="s">
        <v>2</v>
      </c>
      <c r="B4" s="3">
        <v>55</v>
      </c>
      <c r="C4" s="6" t="s">
        <v>3</v>
      </c>
      <c r="D4" s="7" t="s">
        <v>4</v>
      </c>
    </row>
    <row r="5" spans="1:4" x14ac:dyDescent="0.25">
      <c r="A5" s="5" t="s">
        <v>5</v>
      </c>
      <c r="B5" s="3">
        <v>22</v>
      </c>
      <c r="C5" s="6" t="s">
        <v>3</v>
      </c>
      <c r="D5" s="7" t="s">
        <v>6</v>
      </c>
    </row>
    <row r="6" spans="1:4" x14ac:dyDescent="0.25">
      <c r="A6" s="5" t="s">
        <v>7</v>
      </c>
      <c r="B6" s="3">
        <f>B4-B5</f>
        <v>33</v>
      </c>
      <c r="C6" s="6" t="s">
        <v>3</v>
      </c>
      <c r="D6" s="7" t="s">
        <v>8</v>
      </c>
    </row>
    <row r="7" spans="1:4" x14ac:dyDescent="0.25">
      <c r="A7" s="5" t="s">
        <v>9</v>
      </c>
      <c r="B7" s="2">
        <f>B6/B4</f>
        <v>0.6</v>
      </c>
      <c r="C7" s="6" t="s">
        <v>10</v>
      </c>
      <c r="D7" s="7" t="s">
        <v>11</v>
      </c>
    </row>
    <row r="8" spans="1:4" x14ac:dyDescent="0.25">
      <c r="A8" s="5" t="s">
        <v>12</v>
      </c>
      <c r="B8">
        <v>2.2999999999999998</v>
      </c>
      <c r="C8" s="6" t="s">
        <v>13</v>
      </c>
      <c r="D8" s="7" t="s">
        <v>14</v>
      </c>
    </row>
    <row r="9" spans="1:4" x14ac:dyDescent="0.25">
      <c r="A9" s="5" t="s">
        <v>15</v>
      </c>
      <c r="B9" s="3">
        <f>B4*B8</f>
        <v>126.49999999999999</v>
      </c>
      <c r="C9" s="6" t="s">
        <v>16</v>
      </c>
      <c r="D9" s="7" t="s">
        <v>17</v>
      </c>
    </row>
    <row r="10" spans="1:4" x14ac:dyDescent="0.25">
      <c r="A10" s="5" t="s">
        <v>18</v>
      </c>
      <c r="B10" s="2">
        <v>0.08</v>
      </c>
      <c r="C10" s="6" t="s">
        <v>10</v>
      </c>
      <c r="D10" s="7" t="s">
        <v>19</v>
      </c>
    </row>
    <row r="11" spans="1:4" x14ac:dyDescent="0.25">
      <c r="A11" s="5"/>
      <c r="C11" s="6"/>
      <c r="D11" s="7"/>
    </row>
    <row r="12" spans="1:4" x14ac:dyDescent="0.25">
      <c r="A12" s="31" t="s">
        <v>20</v>
      </c>
      <c r="B12" s="32"/>
      <c r="C12" s="33"/>
      <c r="D12" s="34"/>
    </row>
    <row r="13" spans="1:4" x14ac:dyDescent="0.25">
      <c r="A13" s="5" t="s">
        <v>21</v>
      </c>
      <c r="B13">
        <v>400</v>
      </c>
      <c r="C13" s="6" t="s">
        <v>22</v>
      </c>
      <c r="D13" s="7" t="s">
        <v>23</v>
      </c>
    </row>
    <row r="14" spans="1:4" x14ac:dyDescent="0.25">
      <c r="A14" s="5" t="s">
        <v>24</v>
      </c>
      <c r="B14" s="2">
        <v>0.06</v>
      </c>
      <c r="C14" s="6" t="s">
        <v>25</v>
      </c>
      <c r="D14" s="7" t="s">
        <v>26</v>
      </c>
    </row>
    <row r="15" spans="1:4" x14ac:dyDescent="0.25">
      <c r="A15" s="5" t="s">
        <v>27</v>
      </c>
      <c r="B15" s="3">
        <v>28</v>
      </c>
      <c r="C15" s="6" t="s">
        <v>16</v>
      </c>
      <c r="D15" s="7" t="s">
        <v>28</v>
      </c>
    </row>
    <row r="16" spans="1:4" x14ac:dyDescent="0.25">
      <c r="A16" s="5" t="s">
        <v>29</v>
      </c>
      <c r="B16" s="2">
        <v>0.25</v>
      </c>
      <c r="C16" s="6" t="s">
        <v>10</v>
      </c>
      <c r="D16" s="7" t="s">
        <v>30</v>
      </c>
    </row>
    <row r="17" spans="1:4" x14ac:dyDescent="0.25">
      <c r="A17" s="5" t="s">
        <v>31</v>
      </c>
      <c r="B17" s="3">
        <v>35</v>
      </c>
      <c r="C17" s="6" t="s">
        <v>16</v>
      </c>
      <c r="D17" s="7" t="s">
        <v>32</v>
      </c>
    </row>
    <row r="18" spans="1:4" x14ac:dyDescent="0.25">
      <c r="A18" s="5" t="s">
        <v>33</v>
      </c>
      <c r="B18" s="3">
        <v>5</v>
      </c>
      <c r="C18" s="6" t="s">
        <v>16</v>
      </c>
      <c r="D18" s="7" t="s">
        <v>34</v>
      </c>
    </row>
    <row r="19" spans="1:4" x14ac:dyDescent="0.25">
      <c r="A19" s="5" t="s">
        <v>35</v>
      </c>
      <c r="B19" s="3">
        <f>(1-B16)*B17+B16*B18</f>
        <v>27.5</v>
      </c>
      <c r="C19" s="6" t="s">
        <v>16</v>
      </c>
      <c r="D19" s="7" t="s">
        <v>36</v>
      </c>
    </row>
    <row r="20" spans="1:4" x14ac:dyDescent="0.25">
      <c r="A20" s="5"/>
      <c r="C20" s="6"/>
      <c r="D20" s="7"/>
    </row>
    <row r="21" spans="1:4" x14ac:dyDescent="0.25">
      <c r="A21" s="31" t="s">
        <v>37</v>
      </c>
      <c r="B21" s="32"/>
      <c r="C21" s="33"/>
      <c r="D21" s="34"/>
    </row>
    <row r="22" spans="1:4" x14ac:dyDescent="0.25">
      <c r="A22" s="5" t="s">
        <v>38</v>
      </c>
      <c r="B22" s="2">
        <v>0.3</v>
      </c>
      <c r="C22" s="6" t="s">
        <v>10</v>
      </c>
      <c r="D22" s="7" t="s">
        <v>39</v>
      </c>
    </row>
    <row r="23" spans="1:4" x14ac:dyDescent="0.25">
      <c r="A23" s="5" t="s">
        <v>40</v>
      </c>
      <c r="B23" s="2">
        <v>0.7</v>
      </c>
      <c r="C23" s="6" t="s">
        <v>10</v>
      </c>
      <c r="D23" s="7" t="s">
        <v>41</v>
      </c>
    </row>
    <row r="24" spans="1:4" x14ac:dyDescent="0.25">
      <c r="A24" s="5" t="s">
        <v>42</v>
      </c>
      <c r="B24" s="2">
        <v>0.1</v>
      </c>
      <c r="C24" s="6" t="s">
        <v>10</v>
      </c>
      <c r="D24" s="7" t="s">
        <v>43</v>
      </c>
    </row>
    <row r="25" spans="1:4" x14ac:dyDescent="0.25">
      <c r="A25" s="5"/>
      <c r="C25" s="6"/>
      <c r="D25" s="7"/>
    </row>
    <row r="26" spans="1:4" x14ac:dyDescent="0.25">
      <c r="A26" s="31" t="s">
        <v>44</v>
      </c>
      <c r="B26" s="32"/>
      <c r="C26" s="33"/>
      <c r="D26" s="34"/>
    </row>
    <row r="27" spans="1:4" x14ac:dyDescent="0.25">
      <c r="A27" s="5" t="s">
        <v>45</v>
      </c>
      <c r="B27" s="4">
        <v>4500</v>
      </c>
      <c r="C27" s="6" t="s">
        <v>16</v>
      </c>
      <c r="D27" s="7" t="s">
        <v>46</v>
      </c>
    </row>
    <row r="28" spans="1:4" x14ac:dyDescent="0.25">
      <c r="A28" s="5" t="s">
        <v>47</v>
      </c>
      <c r="B28" s="4">
        <v>800</v>
      </c>
      <c r="C28" s="6" t="s">
        <v>16</v>
      </c>
      <c r="D28" s="7" t="s">
        <v>48</v>
      </c>
    </row>
    <row r="29" spans="1:4" x14ac:dyDescent="0.25">
      <c r="A29" s="5" t="s">
        <v>49</v>
      </c>
      <c r="B29" s="4">
        <v>1200</v>
      </c>
      <c r="C29" s="6" t="s">
        <v>16</v>
      </c>
      <c r="D29" s="7" t="s">
        <v>50</v>
      </c>
    </row>
    <row r="30" spans="1:4" x14ac:dyDescent="0.25">
      <c r="A30" s="5" t="s">
        <v>51</v>
      </c>
      <c r="B30" s="3">
        <v>3.5</v>
      </c>
      <c r="C30" s="6" t="s">
        <v>52</v>
      </c>
      <c r="D30" s="7" t="s">
        <v>53</v>
      </c>
    </row>
    <row r="31" spans="1:4" x14ac:dyDescent="0.25">
      <c r="A31" s="5" t="s">
        <v>54</v>
      </c>
      <c r="B31">
        <v>6</v>
      </c>
      <c r="C31" s="6" t="s">
        <v>55</v>
      </c>
      <c r="D31" s="7" t="s">
        <v>56</v>
      </c>
    </row>
    <row r="32" spans="1:4" x14ac:dyDescent="0.25">
      <c r="A32" s="5" t="s">
        <v>57</v>
      </c>
      <c r="B32" s="4">
        <v>5500</v>
      </c>
      <c r="C32" s="6" t="s">
        <v>16</v>
      </c>
      <c r="D32" s="7" t="s">
        <v>58</v>
      </c>
    </row>
    <row r="33" spans="1:4" x14ac:dyDescent="0.25">
      <c r="A33" s="5" t="s">
        <v>59</v>
      </c>
      <c r="B33" s="2">
        <v>0.03</v>
      </c>
      <c r="C33" s="6" t="s">
        <v>10</v>
      </c>
      <c r="D33" s="7" t="s">
        <v>60</v>
      </c>
    </row>
    <row r="34" spans="1:4" x14ac:dyDescent="0.25">
      <c r="A34" s="5" t="s">
        <v>61</v>
      </c>
      <c r="B34">
        <v>2</v>
      </c>
      <c r="C34" s="6" t="s">
        <v>55</v>
      </c>
      <c r="D34" s="7" t="s">
        <v>62</v>
      </c>
    </row>
    <row r="35" spans="1:4" x14ac:dyDescent="0.25">
      <c r="A35" s="5" t="s">
        <v>63</v>
      </c>
      <c r="B35" s="2">
        <v>0.15</v>
      </c>
      <c r="C35" s="6" t="s">
        <v>10</v>
      </c>
      <c r="D35" s="7" t="s">
        <v>64</v>
      </c>
    </row>
    <row r="36" spans="1:4" x14ac:dyDescent="0.25">
      <c r="A36" s="5" t="s">
        <v>65</v>
      </c>
      <c r="B36" s="4">
        <v>5000</v>
      </c>
      <c r="C36" s="6" t="s">
        <v>16</v>
      </c>
      <c r="D36" s="7" t="s">
        <v>66</v>
      </c>
    </row>
    <row r="37" spans="1:4" x14ac:dyDescent="0.25">
      <c r="A37" s="5" t="s">
        <v>67</v>
      </c>
      <c r="B37" s="4">
        <v>1500</v>
      </c>
      <c r="C37" s="6" t="s">
        <v>16</v>
      </c>
      <c r="D37" s="7" t="s">
        <v>68</v>
      </c>
    </row>
    <row r="38" spans="1:4" x14ac:dyDescent="0.25">
      <c r="A38" s="5" t="s">
        <v>69</v>
      </c>
      <c r="B38" s="4">
        <v>1000</v>
      </c>
      <c r="C38" s="6" t="s">
        <v>16</v>
      </c>
      <c r="D38" s="7" t="s">
        <v>70</v>
      </c>
    </row>
    <row r="39" spans="1:4" x14ac:dyDescent="0.25">
      <c r="A39" s="5" t="s">
        <v>71</v>
      </c>
      <c r="B39" s="4">
        <v>800</v>
      </c>
      <c r="C39" s="6" t="s">
        <v>16</v>
      </c>
      <c r="D39" s="7" t="s">
        <v>72</v>
      </c>
    </row>
    <row r="40" spans="1:4" x14ac:dyDescent="0.25">
      <c r="A40" s="5"/>
      <c r="C40" s="6"/>
      <c r="D40" s="7"/>
    </row>
    <row r="41" spans="1:4" x14ac:dyDescent="0.25">
      <c r="A41" s="31" t="s">
        <v>73</v>
      </c>
      <c r="B41" s="32"/>
      <c r="C41" s="33"/>
      <c r="D41" s="34"/>
    </row>
    <row r="42" spans="1:4" x14ac:dyDescent="0.25">
      <c r="A42" s="5" t="s">
        <v>74</v>
      </c>
      <c r="B42">
        <v>2000</v>
      </c>
      <c r="C42" s="6" t="s">
        <v>13</v>
      </c>
      <c r="D42" s="7" t="s">
        <v>75</v>
      </c>
    </row>
    <row r="43" spans="1:4" x14ac:dyDescent="0.25">
      <c r="A43" s="5" t="s">
        <v>76</v>
      </c>
      <c r="B43">
        <v>1.5</v>
      </c>
      <c r="C43" s="6" t="s">
        <v>77</v>
      </c>
      <c r="D43" s="7" t="s">
        <v>78</v>
      </c>
    </row>
    <row r="44" spans="1:4" x14ac:dyDescent="0.25">
      <c r="A44" s="5" t="s">
        <v>79</v>
      </c>
      <c r="B44" s="2">
        <v>0.02</v>
      </c>
      <c r="C44" s="6" t="s">
        <v>10</v>
      </c>
      <c r="D44" s="7" t="s">
        <v>80</v>
      </c>
    </row>
    <row r="45" spans="1:4" x14ac:dyDescent="0.25">
      <c r="A45" s="5" t="s">
        <v>81</v>
      </c>
      <c r="B45">
        <v>2</v>
      </c>
      <c r="C45" s="6" t="s">
        <v>77</v>
      </c>
      <c r="D45" s="7" t="s">
        <v>82</v>
      </c>
    </row>
    <row r="46" spans="1:4" x14ac:dyDescent="0.25">
      <c r="A46" s="5"/>
      <c r="C46" s="6"/>
      <c r="D46" s="7"/>
    </row>
    <row r="47" spans="1:4" x14ac:dyDescent="0.25">
      <c r="A47" s="31" t="s">
        <v>83</v>
      </c>
      <c r="B47" s="32"/>
      <c r="C47" s="33"/>
      <c r="D47" s="34"/>
    </row>
    <row r="48" spans="1:4" x14ac:dyDescent="0.25">
      <c r="A48" s="5" t="s">
        <v>84</v>
      </c>
      <c r="B48" s="2">
        <v>0.25</v>
      </c>
      <c r="C48" s="6" t="s">
        <v>10</v>
      </c>
      <c r="D48" s="7" t="s">
        <v>85</v>
      </c>
    </row>
    <row r="49" spans="1:4" x14ac:dyDescent="0.25">
      <c r="A49" s="5" t="s">
        <v>86</v>
      </c>
      <c r="B49" s="4">
        <v>500</v>
      </c>
      <c r="C49" s="6" t="s">
        <v>16</v>
      </c>
      <c r="D49" s="7" t="s">
        <v>87</v>
      </c>
    </row>
  </sheetData>
  <mergeCells count="7">
    <mergeCell ref="A47:D47"/>
    <mergeCell ref="A1:D1"/>
    <mergeCell ref="A3:D3"/>
    <mergeCell ref="A12:D12"/>
    <mergeCell ref="A21:D21"/>
    <mergeCell ref="A26:D26"/>
    <mergeCell ref="A41:D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50C1-6206-41FE-94EE-F19D5D8AAB4B}">
  <dimension ref="A1:N30"/>
  <sheetViews>
    <sheetView workbookViewId="0">
      <pane xSplit="1" topLeftCell="B1" activePane="topRight" state="frozen"/>
      <selection pane="topRight" sqref="A1:N1"/>
    </sheetView>
  </sheetViews>
  <sheetFormatPr defaultRowHeight="15" x14ac:dyDescent="0.25"/>
  <cols>
    <col min="1" max="1" width="41.85546875" customWidth="1"/>
    <col min="2" max="14" width="17.140625" customWidth="1"/>
  </cols>
  <sheetData>
    <row r="1" spans="1:14" ht="18.75" x14ac:dyDescent="0.3">
      <c r="A1" s="35" t="s">
        <v>88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9" t="s">
        <v>89</v>
      </c>
      <c r="B2" s="10">
        <v>46048</v>
      </c>
      <c r="C2" s="10">
        <v>46079</v>
      </c>
      <c r="D2" s="10">
        <v>46107</v>
      </c>
      <c r="E2" s="10">
        <v>46138</v>
      </c>
      <c r="F2" s="10">
        <v>46168</v>
      </c>
      <c r="G2" s="10">
        <v>46199</v>
      </c>
      <c r="H2" s="10">
        <v>46229</v>
      </c>
      <c r="I2" s="10">
        <v>46260</v>
      </c>
      <c r="J2" s="10">
        <v>46291</v>
      </c>
      <c r="K2" s="10">
        <v>46321</v>
      </c>
      <c r="L2" s="10">
        <v>46352</v>
      </c>
      <c r="M2" s="10">
        <v>46382</v>
      </c>
      <c r="N2" s="9" t="s">
        <v>90</v>
      </c>
    </row>
    <row r="3" spans="1:14" x14ac:dyDescent="0.25">
      <c r="A3" s="37" t="s">
        <v>91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x14ac:dyDescent="0.25">
      <c r="A4" t="s">
        <v>92</v>
      </c>
      <c r="B4" s="12">
        <f>Assumptions!B13</f>
        <v>400</v>
      </c>
      <c r="C4" s="12">
        <f>ROUND(B4*(1+Assumptions!B14),0)</f>
        <v>424</v>
      </c>
      <c r="D4" s="12">
        <f>ROUND(C4*(1+Assumptions!B14),0)</f>
        <v>449</v>
      </c>
      <c r="E4" s="12">
        <f>ROUND(D4*(1+Assumptions!B14),0)</f>
        <v>476</v>
      </c>
      <c r="F4" s="12">
        <f>ROUND(E4*(1+Assumptions!B14),0)</f>
        <v>505</v>
      </c>
      <c r="G4" s="12">
        <f>ROUND(F4*(1+Assumptions!B14),0)</f>
        <v>535</v>
      </c>
      <c r="H4" s="12">
        <f>ROUND(G4*(1+Assumptions!B14),0)</f>
        <v>567</v>
      </c>
      <c r="I4" s="12">
        <f>ROUND(H4*(1+Assumptions!B14),0)</f>
        <v>601</v>
      </c>
      <c r="J4" s="12">
        <f>ROUND(I4*(1+Assumptions!B14),0)</f>
        <v>637</v>
      </c>
      <c r="K4" s="12">
        <f>ROUND(J4*(1+Assumptions!B14),0)</f>
        <v>675</v>
      </c>
      <c r="L4" s="12">
        <f>ROUND(K4*(1+Assumptions!B14),0)</f>
        <v>716</v>
      </c>
      <c r="M4" s="12">
        <f>ROUND(L4*(1+Assumptions!B14),0)</f>
        <v>759</v>
      </c>
      <c r="N4" s="12">
        <f>SUM(B4:M4)</f>
        <v>6744</v>
      </c>
    </row>
    <row r="5" spans="1:14" x14ac:dyDescent="0.25">
      <c r="A5" t="s">
        <v>93</v>
      </c>
      <c r="B5" s="12">
        <v>0</v>
      </c>
      <c r="C5" s="12">
        <f>ROUND(B4*Assumptions!B22,0)</f>
        <v>120</v>
      </c>
      <c r="D5" s="12">
        <f>ROUND(C4*Assumptions!$B$22+C5*Assumptions!$B$23,0)</f>
        <v>211</v>
      </c>
      <c r="E5" s="12">
        <f>ROUND(D4*Assumptions!$B$22+D5*Assumptions!$B$23,0)</f>
        <v>282</v>
      </c>
      <c r="F5" s="12">
        <f>ROUND(E4*Assumptions!$B$22+E5*Assumptions!$B$23,0)</f>
        <v>340</v>
      </c>
      <c r="G5" s="12">
        <f>ROUND(F4*Assumptions!$B$22+F5*Assumptions!$B$23,0)</f>
        <v>390</v>
      </c>
      <c r="H5" s="12">
        <f>ROUND(G4*Assumptions!$B$22+G5*Assumptions!$B$23,0)</f>
        <v>434</v>
      </c>
      <c r="I5" s="12">
        <f>ROUND(H4*Assumptions!$B$22+H5*Assumptions!$B$23,0)</f>
        <v>474</v>
      </c>
      <c r="J5" s="12">
        <f>ROUND(I4*Assumptions!$B$22+I5*Assumptions!$B$23,0)</f>
        <v>512</v>
      </c>
      <c r="K5" s="12">
        <f>ROUND(J4*Assumptions!$B$22+J5*Assumptions!$B$23,0)</f>
        <v>550</v>
      </c>
      <c r="L5" s="12">
        <f>ROUND(K4*Assumptions!$B$22+K5*Assumptions!$B$23,0)</f>
        <v>588</v>
      </c>
      <c r="M5" s="12">
        <f>ROUND(L4*Assumptions!$B$22+L5*Assumptions!$B$23,0)</f>
        <v>626</v>
      </c>
      <c r="N5" s="12">
        <f>SUM(B5:M5)</f>
        <v>4527</v>
      </c>
    </row>
    <row r="6" spans="1:14" x14ac:dyDescent="0.25">
      <c r="A6" t="s">
        <v>94</v>
      </c>
      <c r="B6" s="12">
        <f>B4+B5</f>
        <v>400</v>
      </c>
      <c r="C6" s="12">
        <f t="shared" ref="C6:M6" si="0">C4+C5</f>
        <v>544</v>
      </c>
      <c r="D6" s="12">
        <f t="shared" si="0"/>
        <v>660</v>
      </c>
      <c r="E6" s="12">
        <f t="shared" si="0"/>
        <v>758</v>
      </c>
      <c r="F6" s="12">
        <f t="shared" si="0"/>
        <v>845</v>
      </c>
      <c r="G6" s="12">
        <f t="shared" si="0"/>
        <v>925</v>
      </c>
      <c r="H6" s="12">
        <f t="shared" si="0"/>
        <v>1001</v>
      </c>
      <c r="I6" s="12">
        <f t="shared" si="0"/>
        <v>1075</v>
      </c>
      <c r="J6" s="12">
        <f t="shared" si="0"/>
        <v>1149</v>
      </c>
      <c r="K6" s="12">
        <f t="shared" si="0"/>
        <v>1225</v>
      </c>
      <c r="L6" s="12">
        <f t="shared" si="0"/>
        <v>1304</v>
      </c>
      <c r="M6" s="12">
        <f t="shared" si="0"/>
        <v>1385</v>
      </c>
      <c r="N6" s="12">
        <f>SUM(B6:M6)</f>
        <v>11271</v>
      </c>
    </row>
    <row r="7" spans="1:14" x14ac:dyDescent="0.25">
      <c r="A7" t="s">
        <v>95</v>
      </c>
      <c r="B7" s="12">
        <f>IF(B6=0,0,B5/B6)</f>
        <v>0</v>
      </c>
      <c r="C7" s="12">
        <f t="shared" ref="C7:M7" si="1">IF(C6=0,0,C5/C6)</f>
        <v>0.22058823529411764</v>
      </c>
      <c r="D7" s="12">
        <f t="shared" si="1"/>
        <v>0.3196969696969697</v>
      </c>
      <c r="E7" s="12">
        <f t="shared" si="1"/>
        <v>0.37203166226912932</v>
      </c>
      <c r="F7" s="12">
        <f t="shared" si="1"/>
        <v>0.40236686390532544</v>
      </c>
      <c r="G7" s="12">
        <f t="shared" si="1"/>
        <v>0.42162162162162165</v>
      </c>
      <c r="H7" s="12">
        <f t="shared" si="1"/>
        <v>0.43356643356643354</v>
      </c>
      <c r="I7" s="12">
        <f t="shared" si="1"/>
        <v>0.44093023255813951</v>
      </c>
      <c r="J7" s="12">
        <f t="shared" si="1"/>
        <v>0.44560487380330721</v>
      </c>
      <c r="K7" s="12">
        <f t="shared" si="1"/>
        <v>0.44897959183673469</v>
      </c>
      <c r="L7" s="12">
        <f t="shared" si="1"/>
        <v>0.45092024539877301</v>
      </c>
      <c r="M7" s="12">
        <f t="shared" si="1"/>
        <v>0.45198555956678699</v>
      </c>
      <c r="N7" s="12">
        <f>AVERAGE(B7:M7)</f>
        <v>0.36735769079311154</v>
      </c>
    </row>
    <row r="8" spans="1:14" x14ac:dyDescent="0.25">
      <c r="A8" t="s">
        <v>96</v>
      </c>
      <c r="B8" s="12">
        <f>B4</f>
        <v>400</v>
      </c>
      <c r="C8" s="12">
        <f>B8+C4</f>
        <v>824</v>
      </c>
      <c r="D8" s="12">
        <f t="shared" ref="D8:M8" si="2">C8+D4</f>
        <v>1273</v>
      </c>
      <c r="E8" s="12">
        <f t="shared" si="2"/>
        <v>1749</v>
      </c>
      <c r="F8" s="12">
        <f t="shared" si="2"/>
        <v>2254</v>
      </c>
      <c r="G8" s="12">
        <f t="shared" si="2"/>
        <v>2789</v>
      </c>
      <c r="H8" s="12">
        <f t="shared" si="2"/>
        <v>3356</v>
      </c>
      <c r="I8" s="12">
        <f t="shared" si="2"/>
        <v>3957</v>
      </c>
      <c r="J8" s="12">
        <f t="shared" si="2"/>
        <v>4594</v>
      </c>
      <c r="K8" s="12">
        <f t="shared" si="2"/>
        <v>5269</v>
      </c>
      <c r="L8" s="12">
        <f t="shared" si="2"/>
        <v>5985</v>
      </c>
      <c r="M8" s="12">
        <f t="shared" si="2"/>
        <v>6744</v>
      </c>
      <c r="N8" s="12">
        <f>M8</f>
        <v>6744</v>
      </c>
    </row>
    <row r="10" spans="1:14" x14ac:dyDescent="0.25">
      <c r="A10" s="37" t="s">
        <v>97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x14ac:dyDescent="0.25">
      <c r="A11" t="s">
        <v>98</v>
      </c>
      <c r="B11" s="12">
        <f>B6</f>
        <v>400</v>
      </c>
      <c r="C11" s="12">
        <f t="shared" ref="C11:M11" si="3">C6</f>
        <v>544</v>
      </c>
      <c r="D11" s="12">
        <f t="shared" si="3"/>
        <v>660</v>
      </c>
      <c r="E11" s="12">
        <f t="shared" si="3"/>
        <v>758</v>
      </c>
      <c r="F11" s="12">
        <f t="shared" si="3"/>
        <v>845</v>
      </c>
      <c r="G11" s="12">
        <f t="shared" si="3"/>
        <v>925</v>
      </c>
      <c r="H11" s="12">
        <f t="shared" si="3"/>
        <v>1001</v>
      </c>
      <c r="I11" s="12">
        <f t="shared" si="3"/>
        <v>1075</v>
      </c>
      <c r="J11" s="12">
        <f t="shared" si="3"/>
        <v>1149</v>
      </c>
      <c r="K11" s="12">
        <f t="shared" si="3"/>
        <v>1225</v>
      </c>
      <c r="L11" s="12">
        <f t="shared" si="3"/>
        <v>1304</v>
      </c>
      <c r="M11" s="12">
        <f t="shared" si="3"/>
        <v>1385</v>
      </c>
      <c r="N11" s="12">
        <f t="shared" ref="N11:N16" si="4">SUM(B11:M11)</f>
        <v>11271</v>
      </c>
    </row>
    <row r="12" spans="1:14" x14ac:dyDescent="0.25">
      <c r="A12" t="s">
        <v>99</v>
      </c>
      <c r="B12" s="12">
        <f>B4</f>
        <v>400</v>
      </c>
      <c r="C12" s="12">
        <f t="shared" ref="C12:M12" si="5">C4</f>
        <v>424</v>
      </c>
      <c r="D12" s="12">
        <f t="shared" si="5"/>
        <v>449</v>
      </c>
      <c r="E12" s="12">
        <f t="shared" si="5"/>
        <v>476</v>
      </c>
      <c r="F12" s="12">
        <f t="shared" si="5"/>
        <v>505</v>
      </c>
      <c r="G12" s="12">
        <f t="shared" si="5"/>
        <v>535</v>
      </c>
      <c r="H12" s="12">
        <f t="shared" si="5"/>
        <v>567</v>
      </c>
      <c r="I12" s="12">
        <f t="shared" si="5"/>
        <v>601</v>
      </c>
      <c r="J12" s="12">
        <f t="shared" si="5"/>
        <v>637</v>
      </c>
      <c r="K12" s="12">
        <f t="shared" si="5"/>
        <v>675</v>
      </c>
      <c r="L12" s="12">
        <f t="shared" si="5"/>
        <v>716</v>
      </c>
      <c r="M12" s="12">
        <f t="shared" si="5"/>
        <v>759</v>
      </c>
      <c r="N12" s="12">
        <f t="shared" si="4"/>
        <v>6744</v>
      </c>
    </row>
    <row r="13" spans="1:14" x14ac:dyDescent="0.25">
      <c r="A13" t="s">
        <v>100</v>
      </c>
      <c r="B13" s="12">
        <f>B5</f>
        <v>0</v>
      </c>
      <c r="C13" s="12">
        <f t="shared" ref="C13:M13" si="6">C5</f>
        <v>120</v>
      </c>
      <c r="D13" s="12">
        <f t="shared" si="6"/>
        <v>211</v>
      </c>
      <c r="E13" s="12">
        <f t="shared" si="6"/>
        <v>282</v>
      </c>
      <c r="F13" s="12">
        <f t="shared" si="6"/>
        <v>340</v>
      </c>
      <c r="G13" s="12">
        <f t="shared" si="6"/>
        <v>390</v>
      </c>
      <c r="H13" s="12">
        <f t="shared" si="6"/>
        <v>434</v>
      </c>
      <c r="I13" s="12">
        <f t="shared" si="6"/>
        <v>474</v>
      </c>
      <c r="J13" s="12">
        <f t="shared" si="6"/>
        <v>512</v>
      </c>
      <c r="K13" s="12">
        <f t="shared" si="6"/>
        <v>550</v>
      </c>
      <c r="L13" s="12">
        <f t="shared" si="6"/>
        <v>588</v>
      </c>
      <c r="M13" s="12">
        <f t="shared" si="6"/>
        <v>626</v>
      </c>
      <c r="N13" s="12">
        <f t="shared" si="4"/>
        <v>4527</v>
      </c>
    </row>
    <row r="14" spans="1:14" x14ac:dyDescent="0.25">
      <c r="A14" t="s">
        <v>101</v>
      </c>
      <c r="B14" s="12">
        <f>ROUND(B4*Assumptions!$B$8 + B5*Assumptions!$B$8,0)</f>
        <v>920</v>
      </c>
      <c r="C14" s="12">
        <f>ROUND(C4*Assumptions!$B$8 + C5*Assumptions!$B$8,0)</f>
        <v>1251</v>
      </c>
      <c r="D14" s="12">
        <f>ROUND(D4*Assumptions!$B$8 + D5*Assumptions!$B$8,0)</f>
        <v>1518</v>
      </c>
      <c r="E14" s="12">
        <f>ROUND(E4*Assumptions!$B$8 + E5*Assumptions!$B$8,0)</f>
        <v>1743</v>
      </c>
      <c r="F14" s="12">
        <f>ROUND(F4*Assumptions!$B$8 + F5*Assumptions!$B$8,0)</f>
        <v>1944</v>
      </c>
      <c r="G14" s="12">
        <f>ROUND(G4*Assumptions!$B$8 + G5*Assumptions!$B$8,0)</f>
        <v>2128</v>
      </c>
      <c r="H14" s="12">
        <f>ROUND(H4*Assumptions!$B$8 + H5*Assumptions!$B$8,0)</f>
        <v>2302</v>
      </c>
      <c r="I14" s="12">
        <f>ROUND(I4*Assumptions!$B$8 + I5*Assumptions!$B$8,0)</f>
        <v>2473</v>
      </c>
      <c r="J14" s="12">
        <f>ROUND(J4*Assumptions!$B$8 + J5*Assumptions!$B$8,0)</f>
        <v>2643</v>
      </c>
      <c r="K14" s="12">
        <f>ROUND(K4*Assumptions!$B$8 + K5*Assumptions!$B$8,0)</f>
        <v>2818</v>
      </c>
      <c r="L14" s="12">
        <f>ROUND(L4*Assumptions!$B$8 + L5*Assumptions!$B$8,0)</f>
        <v>2999</v>
      </c>
      <c r="M14" s="12">
        <f>ROUND(M4*Assumptions!$B$8 + M5*Assumptions!$B$8,0)</f>
        <v>3186</v>
      </c>
      <c r="N14" s="12">
        <f t="shared" si="4"/>
        <v>25925</v>
      </c>
    </row>
    <row r="15" spans="1:14" x14ac:dyDescent="0.25">
      <c r="A15" t="s">
        <v>102</v>
      </c>
      <c r="B15" s="12">
        <f>ROUND(B14*Assumptions!$B$10,0)</f>
        <v>74</v>
      </c>
      <c r="C15" s="12">
        <f>ROUND(C14*Assumptions!$B$10,0)</f>
        <v>100</v>
      </c>
      <c r="D15" s="12">
        <f>ROUND(D14*Assumptions!$B$10,0)</f>
        <v>121</v>
      </c>
      <c r="E15" s="12">
        <f>ROUND(E14*Assumptions!$B$10,0)</f>
        <v>139</v>
      </c>
      <c r="F15" s="12">
        <f>ROUND(F14*Assumptions!$B$10,0)</f>
        <v>156</v>
      </c>
      <c r="G15" s="12">
        <f>ROUND(G14*Assumptions!$B$10,0)</f>
        <v>170</v>
      </c>
      <c r="H15" s="12">
        <f>ROUND(H14*Assumptions!$B$10,0)</f>
        <v>184</v>
      </c>
      <c r="I15" s="12">
        <f>ROUND(I14*Assumptions!$B$10,0)</f>
        <v>198</v>
      </c>
      <c r="J15" s="12">
        <f>ROUND(J14*Assumptions!$B$10,0)</f>
        <v>211</v>
      </c>
      <c r="K15" s="12">
        <f>ROUND(K14*Assumptions!$B$10,0)</f>
        <v>225</v>
      </c>
      <c r="L15" s="12">
        <f>ROUND(L14*Assumptions!$B$10,0)</f>
        <v>240</v>
      </c>
      <c r="M15" s="12">
        <f>ROUND(M14*Assumptions!$B$10,0)</f>
        <v>255</v>
      </c>
      <c r="N15" s="12">
        <f t="shared" si="4"/>
        <v>2073</v>
      </c>
    </row>
    <row r="16" spans="1:14" x14ac:dyDescent="0.25">
      <c r="A16" t="s">
        <v>103</v>
      </c>
      <c r="B16" s="12">
        <f>B14-B15</f>
        <v>846</v>
      </c>
      <c r="C16" s="12">
        <f t="shared" ref="C16:M16" si="7">C14-C15</f>
        <v>1151</v>
      </c>
      <c r="D16" s="12">
        <f t="shared" si="7"/>
        <v>1397</v>
      </c>
      <c r="E16" s="12">
        <f t="shared" si="7"/>
        <v>1604</v>
      </c>
      <c r="F16" s="12">
        <f t="shared" si="7"/>
        <v>1788</v>
      </c>
      <c r="G16" s="12">
        <f t="shared" si="7"/>
        <v>1958</v>
      </c>
      <c r="H16" s="12">
        <f t="shared" si="7"/>
        <v>2118</v>
      </c>
      <c r="I16" s="12">
        <f t="shared" si="7"/>
        <v>2275</v>
      </c>
      <c r="J16" s="12">
        <f t="shared" si="7"/>
        <v>2432</v>
      </c>
      <c r="K16" s="12">
        <f t="shared" si="7"/>
        <v>2593</v>
      </c>
      <c r="L16" s="12">
        <f t="shared" si="7"/>
        <v>2759</v>
      </c>
      <c r="M16" s="12">
        <f t="shared" si="7"/>
        <v>2931</v>
      </c>
      <c r="N16" s="12">
        <f t="shared" si="4"/>
        <v>23852</v>
      </c>
    </row>
    <row r="18" spans="1:14" x14ac:dyDescent="0.25">
      <c r="A18" s="37" t="s">
        <v>104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1:14" x14ac:dyDescent="0.25">
      <c r="A19" t="s">
        <v>105</v>
      </c>
      <c r="B19" s="4">
        <f>B4*Assumptions!$B$8*Assumptions!$B$4 + B5*Assumptions!$B$8*Assumptions!$B$4*(1+Assumptions!$B$24)</f>
        <v>50599.999999999993</v>
      </c>
      <c r="C19" s="4">
        <f>C4*Assumptions!$B$8*Assumptions!$B$4 + C5*Assumptions!$B$8*Assumptions!$B$4*(1+Assumptions!$B$24)</f>
        <v>70334</v>
      </c>
      <c r="D19" s="4">
        <f>D4*Assumptions!$B$8*Assumptions!$B$4 + D5*Assumptions!$B$8*Assumptions!$B$4*(1+Assumptions!$B$24)</f>
        <v>86159.15</v>
      </c>
      <c r="E19" s="4">
        <f>E4*Assumptions!$B$8*Assumptions!$B$4 + E5*Assumptions!$B$8*Assumptions!$B$4*(1+Assumptions!$B$24)</f>
        <v>99454.299999999988</v>
      </c>
      <c r="F19" s="4">
        <f>F4*Assumptions!$B$8*Assumptions!$B$4 + F5*Assumptions!$B$8*Assumptions!$B$4*(1+Assumptions!$B$24)</f>
        <v>111193.5</v>
      </c>
      <c r="G19" s="4">
        <f>G4*Assumptions!$B$8*Assumptions!$B$4 + G5*Assumptions!$B$8*Assumptions!$B$4*(1+Assumptions!$B$24)</f>
        <v>121946</v>
      </c>
      <c r="H19" s="4">
        <f>H4*Assumptions!$B$8*Assumptions!$B$4 + H5*Assumptions!$B$8*Assumptions!$B$4*(1+Assumptions!$B$24)</f>
        <v>132116.6</v>
      </c>
      <c r="I19" s="4">
        <f>I4*Assumptions!$B$8*Assumptions!$B$4 + I5*Assumptions!$B$8*Assumptions!$B$4*(1+Assumptions!$B$24)</f>
        <v>141983.59999999998</v>
      </c>
      <c r="J19" s="4">
        <f>J4*Assumptions!$B$8*Assumptions!$B$4 + J5*Assumptions!$B$8*Assumptions!$B$4*(1+Assumptions!$B$24)</f>
        <v>151825.29999999999</v>
      </c>
      <c r="K19" s="4">
        <f>K4*Assumptions!$B$8*Assumptions!$B$4 + K5*Assumptions!$B$8*Assumptions!$B$4*(1+Assumptions!$B$24)</f>
        <v>161920</v>
      </c>
      <c r="L19" s="4">
        <f>L4*Assumptions!$B$8*Assumptions!$B$4 + L5*Assumptions!$B$8*Assumptions!$B$4*(1+Assumptions!$B$24)</f>
        <v>172394.2</v>
      </c>
      <c r="M19" s="4">
        <f>M4*Assumptions!$B$8*Assumptions!$B$4 + M5*Assumptions!$B$8*Assumptions!$B$4*(1+Assumptions!$B$24)</f>
        <v>183121.4</v>
      </c>
      <c r="N19" s="4">
        <f>SUM(B19:M19)</f>
        <v>1483048.0499999998</v>
      </c>
    </row>
    <row r="20" spans="1:14" x14ac:dyDescent="0.25">
      <c r="A20" t="s">
        <v>106</v>
      </c>
      <c r="B20" s="4">
        <f>-B15*Assumptions!$B$4</f>
        <v>-4070</v>
      </c>
      <c r="C20" s="4">
        <f>-C15*Assumptions!$B$4</f>
        <v>-5500</v>
      </c>
      <c r="D20" s="4">
        <f>-D15*Assumptions!$B$4</f>
        <v>-6655</v>
      </c>
      <c r="E20" s="4">
        <f>-E15*Assumptions!$B$4</f>
        <v>-7645</v>
      </c>
      <c r="F20" s="4">
        <f>-F15*Assumptions!$B$4</f>
        <v>-8580</v>
      </c>
      <c r="G20" s="4">
        <f>-G15*Assumptions!$B$4</f>
        <v>-9350</v>
      </c>
      <c r="H20" s="4">
        <f>-H15*Assumptions!$B$4</f>
        <v>-10120</v>
      </c>
      <c r="I20" s="4">
        <f>-I15*Assumptions!$B$4</f>
        <v>-10890</v>
      </c>
      <c r="J20" s="4">
        <f>-J15*Assumptions!$B$4</f>
        <v>-11605</v>
      </c>
      <c r="K20" s="4">
        <f>-K15*Assumptions!$B$4</f>
        <v>-12375</v>
      </c>
      <c r="L20" s="4">
        <f>-L15*Assumptions!$B$4</f>
        <v>-13200</v>
      </c>
      <c r="M20" s="4">
        <f>-M15*Assumptions!$B$4</f>
        <v>-14025</v>
      </c>
      <c r="N20" s="4">
        <f>SUM(B20:M20)</f>
        <v>-114015</v>
      </c>
    </row>
    <row r="21" spans="1:14" x14ac:dyDescent="0.25">
      <c r="A21" s="8" t="s">
        <v>107</v>
      </c>
      <c r="B21" s="13">
        <f>B19+B20</f>
        <v>46529.999999999993</v>
      </c>
      <c r="C21" s="13">
        <f t="shared" ref="C21:M21" si="8">C19+C20</f>
        <v>64834</v>
      </c>
      <c r="D21" s="13">
        <f t="shared" si="8"/>
        <v>79504.149999999994</v>
      </c>
      <c r="E21" s="13">
        <f t="shared" si="8"/>
        <v>91809.299999999988</v>
      </c>
      <c r="F21" s="13">
        <f t="shared" si="8"/>
        <v>102613.5</v>
      </c>
      <c r="G21" s="13">
        <f t="shared" si="8"/>
        <v>112596</v>
      </c>
      <c r="H21" s="13">
        <f t="shared" si="8"/>
        <v>121996.6</v>
      </c>
      <c r="I21" s="13">
        <f t="shared" si="8"/>
        <v>131093.59999999998</v>
      </c>
      <c r="J21" s="13">
        <f t="shared" si="8"/>
        <v>140220.29999999999</v>
      </c>
      <c r="K21" s="13">
        <f t="shared" si="8"/>
        <v>149545</v>
      </c>
      <c r="L21" s="13">
        <f t="shared" si="8"/>
        <v>159194.20000000001</v>
      </c>
      <c r="M21" s="13">
        <f t="shared" si="8"/>
        <v>169096.4</v>
      </c>
      <c r="N21" s="13">
        <f>SUM(B21:M21)</f>
        <v>1369033.0499999998</v>
      </c>
    </row>
    <row r="22" spans="1:14" x14ac:dyDescent="0.25">
      <c r="A22" t="s">
        <v>108</v>
      </c>
      <c r="B22" t="s">
        <v>109</v>
      </c>
      <c r="C22" s="2">
        <f>(C21-B21)/B21</f>
        <v>0.39338061465721064</v>
      </c>
      <c r="D22" s="2">
        <f t="shared" ref="D22:M22" si="9">(D21-C21)/C21</f>
        <v>0.22627248048863241</v>
      </c>
      <c r="E22" s="2">
        <f t="shared" si="9"/>
        <v>0.15477368162542451</v>
      </c>
      <c r="F22" s="2">
        <f t="shared" si="9"/>
        <v>0.11768088853743588</v>
      </c>
      <c r="G22" s="2">
        <f t="shared" si="9"/>
        <v>9.7282521305676148E-2</v>
      </c>
      <c r="H22" s="2">
        <f t="shared" si="9"/>
        <v>8.3489644392340814E-2</v>
      </c>
      <c r="I22" s="2">
        <f t="shared" si="9"/>
        <v>7.4567651885380171E-2</v>
      </c>
      <c r="J22" s="2">
        <f t="shared" si="9"/>
        <v>6.9619722091696409E-2</v>
      </c>
      <c r="K22" s="2">
        <f t="shared" si="9"/>
        <v>6.6500356938332131E-2</v>
      </c>
      <c r="L22" s="2">
        <f t="shared" si="9"/>
        <v>6.4523721956601776E-2</v>
      </c>
      <c r="M22" s="2">
        <f t="shared" si="9"/>
        <v>6.2202014897527559E-2</v>
      </c>
      <c r="N22" s="2">
        <f>AVERAGE(C22:M22)</f>
        <v>0.12820848170693255</v>
      </c>
    </row>
    <row r="24" spans="1:14" x14ac:dyDescent="0.25">
      <c r="A24" s="37" t="s">
        <v>110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4" x14ac:dyDescent="0.25">
      <c r="A25" t="s">
        <v>111</v>
      </c>
      <c r="B25" s="4">
        <f>B16*Assumptions!$B$5</f>
        <v>18612</v>
      </c>
      <c r="C25" s="4">
        <f>C16*Assumptions!$B$5</f>
        <v>25322</v>
      </c>
      <c r="D25" s="4">
        <f>D16*Assumptions!$B$5</f>
        <v>30734</v>
      </c>
      <c r="E25" s="4">
        <f>E16*Assumptions!$B$5</f>
        <v>35288</v>
      </c>
      <c r="F25" s="4">
        <f>F16*Assumptions!$B$5</f>
        <v>39336</v>
      </c>
      <c r="G25" s="4">
        <f>G16*Assumptions!$B$5</f>
        <v>43076</v>
      </c>
      <c r="H25" s="4">
        <f>H16*Assumptions!$B$5</f>
        <v>46596</v>
      </c>
      <c r="I25" s="4">
        <f>I16*Assumptions!$B$5</f>
        <v>50050</v>
      </c>
      <c r="J25" s="4">
        <f>J16*Assumptions!$B$5</f>
        <v>53504</v>
      </c>
      <c r="K25" s="4">
        <f>K16*Assumptions!$B$5</f>
        <v>57046</v>
      </c>
      <c r="L25" s="4">
        <f>L16*Assumptions!$B$5</f>
        <v>60698</v>
      </c>
      <c r="M25" s="4">
        <f>M16*Assumptions!$B$5</f>
        <v>64482</v>
      </c>
      <c r="N25" s="4">
        <f>SUM(B25:M25)</f>
        <v>524744</v>
      </c>
    </row>
    <row r="26" spans="1:14" x14ac:dyDescent="0.25">
      <c r="A26" s="8" t="s">
        <v>112</v>
      </c>
      <c r="B26" s="13">
        <f>B21-B25</f>
        <v>27917.999999999993</v>
      </c>
      <c r="C26" s="13">
        <f t="shared" ref="C26:M26" si="10">C21-C25</f>
        <v>39512</v>
      </c>
      <c r="D26" s="13">
        <f t="shared" si="10"/>
        <v>48770.149999999994</v>
      </c>
      <c r="E26" s="13">
        <f t="shared" si="10"/>
        <v>56521.299999999988</v>
      </c>
      <c r="F26" s="13">
        <f t="shared" si="10"/>
        <v>63277.5</v>
      </c>
      <c r="G26" s="13">
        <f t="shared" si="10"/>
        <v>69520</v>
      </c>
      <c r="H26" s="13">
        <f t="shared" si="10"/>
        <v>75400.600000000006</v>
      </c>
      <c r="I26" s="13">
        <f t="shared" si="10"/>
        <v>81043.599999999977</v>
      </c>
      <c r="J26" s="13">
        <f t="shared" si="10"/>
        <v>86716.299999999988</v>
      </c>
      <c r="K26" s="13">
        <f t="shared" si="10"/>
        <v>92499</v>
      </c>
      <c r="L26" s="13">
        <f t="shared" si="10"/>
        <v>98496.200000000012</v>
      </c>
      <c r="M26" s="13">
        <f t="shared" si="10"/>
        <v>104614.39999999999</v>
      </c>
      <c r="N26" s="13">
        <f>SUM(B26:M26)</f>
        <v>844289.04999999993</v>
      </c>
    </row>
    <row r="27" spans="1:14" x14ac:dyDescent="0.25">
      <c r="A27" t="s">
        <v>9</v>
      </c>
      <c r="B27" s="2">
        <f>IF(B21=0,0,B26/B21)</f>
        <v>0.6</v>
      </c>
      <c r="C27" s="2">
        <f t="shared" ref="C27:M27" si="11">IF(C21=0,0,C26/C21)</f>
        <v>0.60943332202239564</v>
      </c>
      <c r="D27" s="2">
        <f t="shared" si="11"/>
        <v>0.61342898452470718</v>
      </c>
      <c r="E27" s="2">
        <f t="shared" si="11"/>
        <v>0.61563806716748737</v>
      </c>
      <c r="F27" s="2">
        <f t="shared" si="11"/>
        <v>0.61665862678887284</v>
      </c>
      <c r="G27" s="2">
        <f t="shared" si="11"/>
        <v>0.61742868307932786</v>
      </c>
      <c r="H27" s="2">
        <f t="shared" si="11"/>
        <v>0.61805492939967177</v>
      </c>
      <c r="I27" s="2">
        <f t="shared" si="11"/>
        <v>0.61821172048063366</v>
      </c>
      <c r="J27" s="2">
        <f t="shared" si="11"/>
        <v>0.61842900065111828</v>
      </c>
      <c r="K27" s="2">
        <f t="shared" si="11"/>
        <v>0.61853622655388008</v>
      </c>
      <c r="L27" s="2">
        <f t="shared" si="11"/>
        <v>0.6187172648249748</v>
      </c>
      <c r="M27" s="2">
        <f t="shared" si="11"/>
        <v>0.61866722177408862</v>
      </c>
      <c r="N27" s="2">
        <f>AVERAGE(B27:M27)</f>
        <v>0.61526700393892986</v>
      </c>
    </row>
    <row r="28" spans="1:14" x14ac:dyDescent="0.25">
      <c r="A28" t="s">
        <v>113</v>
      </c>
      <c r="B28" s="3">
        <f>IF(B6=0,0,B21/B6)</f>
        <v>116.32499999999999</v>
      </c>
      <c r="C28" s="3">
        <f t="shared" ref="C28:M28" si="12">IF(C6=0,0,C21/C6)</f>
        <v>119.18014705882354</v>
      </c>
      <c r="D28" s="3">
        <f t="shared" si="12"/>
        <v>120.46083333333333</v>
      </c>
      <c r="E28" s="3">
        <f t="shared" si="12"/>
        <v>121.12044854881265</v>
      </c>
      <c r="F28" s="3">
        <f t="shared" si="12"/>
        <v>121.43609467455622</v>
      </c>
      <c r="G28" s="3">
        <f t="shared" si="12"/>
        <v>121.72540540540541</v>
      </c>
      <c r="H28" s="3">
        <f t="shared" si="12"/>
        <v>121.87472527472528</v>
      </c>
      <c r="I28" s="3">
        <f t="shared" si="12"/>
        <v>121.94753488372091</v>
      </c>
      <c r="J28" s="3">
        <f t="shared" si="12"/>
        <v>122.03681462140992</v>
      </c>
      <c r="K28" s="3">
        <f t="shared" si="12"/>
        <v>122.07755102040817</v>
      </c>
      <c r="L28" s="3">
        <f t="shared" si="12"/>
        <v>122.08144171779142</v>
      </c>
      <c r="M28" s="3">
        <f t="shared" si="12"/>
        <v>122.09126353790613</v>
      </c>
      <c r="N28" s="3">
        <f>AVERAGE(B28:M28)</f>
        <v>121.02977167307439</v>
      </c>
    </row>
    <row r="29" spans="1:14" x14ac:dyDescent="0.25">
      <c r="A29" t="s">
        <v>114</v>
      </c>
      <c r="B29" s="3">
        <f>Assumptions!$B$19</f>
        <v>27.5</v>
      </c>
      <c r="C29" s="3">
        <f>Assumptions!$B$19</f>
        <v>27.5</v>
      </c>
      <c r="D29" s="3">
        <f>Assumptions!$B$19</f>
        <v>27.5</v>
      </c>
      <c r="E29" s="3">
        <f>Assumptions!$B$19</f>
        <v>27.5</v>
      </c>
      <c r="F29" s="3">
        <f>Assumptions!$B$19</f>
        <v>27.5</v>
      </c>
      <c r="G29" s="3">
        <f>Assumptions!$B$19</f>
        <v>27.5</v>
      </c>
      <c r="H29" s="3">
        <f>Assumptions!$B$19</f>
        <v>27.5</v>
      </c>
      <c r="I29" s="3">
        <f>Assumptions!$B$19</f>
        <v>27.5</v>
      </c>
      <c r="J29" s="3">
        <f>Assumptions!$B$19</f>
        <v>27.5</v>
      </c>
      <c r="K29" s="3">
        <f>Assumptions!$B$19</f>
        <v>27.5</v>
      </c>
      <c r="L29" s="3">
        <f>Assumptions!$B$19</f>
        <v>27.5</v>
      </c>
      <c r="M29" s="3">
        <f>Assumptions!$B$19</f>
        <v>27.5</v>
      </c>
      <c r="N29" s="3">
        <f>AVERAGE(B29:M29)</f>
        <v>27.5</v>
      </c>
    </row>
    <row r="30" spans="1:14" x14ac:dyDescent="0.25">
      <c r="A30" t="s">
        <v>115</v>
      </c>
      <c r="B30" s="11">
        <f>IF(B29=0,0,(B26/B6)/B29)</f>
        <v>2.5379999999999994</v>
      </c>
      <c r="C30" s="11">
        <f t="shared" ref="C30:M30" si="13">IF(C29=0,0,(C26/C6)/C29)</f>
        <v>2.6411764705882352</v>
      </c>
      <c r="D30" s="11">
        <f t="shared" si="13"/>
        <v>2.6870606060606059</v>
      </c>
      <c r="E30" s="11">
        <f t="shared" si="13"/>
        <v>2.7115039577836404</v>
      </c>
      <c r="F30" s="11">
        <f t="shared" si="13"/>
        <v>2.7230769230769232</v>
      </c>
      <c r="G30" s="11">
        <f t="shared" si="13"/>
        <v>2.732972972972973</v>
      </c>
      <c r="H30" s="11">
        <f t="shared" si="13"/>
        <v>2.7391008991008992</v>
      </c>
      <c r="I30" s="11">
        <f t="shared" si="13"/>
        <v>2.7414325581395338</v>
      </c>
      <c r="J30" s="11">
        <f t="shared" si="13"/>
        <v>2.7444038294168842</v>
      </c>
      <c r="K30" s="11">
        <f t="shared" si="13"/>
        <v>2.7457959183673468</v>
      </c>
      <c r="L30" s="11">
        <f t="shared" si="13"/>
        <v>2.7466871165644178</v>
      </c>
      <c r="M30" s="11">
        <f t="shared" si="13"/>
        <v>2.7466859205776175</v>
      </c>
      <c r="N30" s="11">
        <f>AVERAGE(B30:M30)</f>
        <v>2.7081580977207564</v>
      </c>
    </row>
  </sheetData>
  <mergeCells count="5">
    <mergeCell ref="A1:N1"/>
    <mergeCell ref="A3:N3"/>
    <mergeCell ref="A10:N10"/>
    <mergeCell ref="A18:N18"/>
    <mergeCell ref="A24:N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6C4D-A5AD-465D-A657-29840EFE07DB}">
  <dimension ref="A1:N32"/>
  <sheetViews>
    <sheetView workbookViewId="0">
      <pane xSplit="1" topLeftCell="B1" activePane="topRight" state="frozen"/>
      <selection pane="topRight" sqref="A1:N1"/>
    </sheetView>
  </sheetViews>
  <sheetFormatPr defaultRowHeight="15" x14ac:dyDescent="0.25"/>
  <cols>
    <col min="1" max="1" width="41.85546875" customWidth="1"/>
    <col min="2" max="14" width="17.140625" customWidth="1"/>
  </cols>
  <sheetData>
    <row r="1" spans="1:14" ht="18.75" x14ac:dyDescent="0.3">
      <c r="A1" s="35" t="s">
        <v>116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9" t="s">
        <v>117</v>
      </c>
      <c r="B2" s="10">
        <v>46048</v>
      </c>
      <c r="C2" s="10">
        <v>46079</v>
      </c>
      <c r="D2" s="10">
        <v>46107</v>
      </c>
      <c r="E2" s="10">
        <v>46138</v>
      </c>
      <c r="F2" s="10">
        <v>46168</v>
      </c>
      <c r="G2" s="10">
        <v>46199</v>
      </c>
      <c r="H2" s="10">
        <v>46229</v>
      </c>
      <c r="I2" s="10">
        <v>46260</v>
      </c>
      <c r="J2" s="10">
        <v>46291</v>
      </c>
      <c r="K2" s="10">
        <v>46321</v>
      </c>
      <c r="L2" s="10">
        <v>46352</v>
      </c>
      <c r="M2" s="10">
        <v>46382</v>
      </c>
      <c r="N2" s="9" t="s">
        <v>118</v>
      </c>
    </row>
    <row r="3" spans="1:14" x14ac:dyDescent="0.25">
      <c r="A3" s="37" t="s">
        <v>119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x14ac:dyDescent="0.25">
      <c r="A4" t="s">
        <v>120</v>
      </c>
      <c r="B4" s="4">
        <f>Revenue!B25</f>
        <v>18612</v>
      </c>
      <c r="C4" s="4">
        <f>Revenue!C25</f>
        <v>25322</v>
      </c>
      <c r="D4" s="4">
        <f>Revenue!D25</f>
        <v>30734</v>
      </c>
      <c r="E4" s="4">
        <f>Revenue!E25</f>
        <v>35288</v>
      </c>
      <c r="F4" s="4">
        <f>Revenue!F25</f>
        <v>39336</v>
      </c>
      <c r="G4" s="4">
        <f>Revenue!G25</f>
        <v>43076</v>
      </c>
      <c r="H4" s="4">
        <f>Revenue!H25</f>
        <v>46596</v>
      </c>
      <c r="I4" s="4">
        <f>Revenue!I25</f>
        <v>50050</v>
      </c>
      <c r="J4" s="4">
        <f>Revenue!J25</f>
        <v>53504</v>
      </c>
      <c r="K4" s="4">
        <f>Revenue!K25</f>
        <v>57046</v>
      </c>
      <c r="L4" s="4">
        <f>Revenue!L25</f>
        <v>60698</v>
      </c>
      <c r="M4" s="4">
        <f>Revenue!M25</f>
        <v>64482</v>
      </c>
      <c r="N4" s="4">
        <f>SUM(B4:M4)</f>
        <v>524744</v>
      </c>
    </row>
    <row r="5" spans="1:14" x14ac:dyDescent="0.25">
      <c r="A5" t="s">
        <v>121</v>
      </c>
      <c r="B5" s="4">
        <f>ROUND(Assumptions!$B$44*Assumptions!$B$42*Assumptions!$B$5,0)</f>
        <v>880</v>
      </c>
      <c r="C5" s="4">
        <f>ROUND(Assumptions!$B$44*Assumptions!$B$42*Assumptions!$B$5,0)</f>
        <v>880</v>
      </c>
      <c r="D5" s="4">
        <f>ROUND(Assumptions!$B$44*Assumptions!$B$42*Assumptions!$B$5,0)</f>
        <v>880</v>
      </c>
      <c r="E5" s="4">
        <f>ROUND(Assumptions!$B$44*Assumptions!$B$42*Assumptions!$B$5,0)</f>
        <v>880</v>
      </c>
      <c r="F5" s="4">
        <f>ROUND(Assumptions!$B$44*Assumptions!$B$42*Assumptions!$B$5,0)</f>
        <v>880</v>
      </c>
      <c r="G5" s="4">
        <f>ROUND(Assumptions!$B$44*Assumptions!$B$42*Assumptions!$B$5,0)</f>
        <v>880</v>
      </c>
      <c r="H5" s="4">
        <f>ROUND(Assumptions!$B$44*Assumptions!$B$42*Assumptions!$B$5,0)</f>
        <v>880</v>
      </c>
      <c r="I5" s="4">
        <f>ROUND(Assumptions!$B$44*Assumptions!$B$42*Assumptions!$B$5,0)</f>
        <v>880</v>
      </c>
      <c r="J5" s="4">
        <f>ROUND(Assumptions!$B$44*Assumptions!$B$42*Assumptions!$B$5,0)</f>
        <v>880</v>
      </c>
      <c r="K5" s="4">
        <f>ROUND(Assumptions!$B$44*Assumptions!$B$42*Assumptions!$B$5,0)</f>
        <v>880</v>
      </c>
      <c r="L5" s="4">
        <f>ROUND(Assumptions!$B$44*Assumptions!$B$42*Assumptions!$B$5,0)</f>
        <v>880</v>
      </c>
      <c r="M5" s="4">
        <f>ROUND(Assumptions!$B$44*Assumptions!$B$42*Assumptions!$B$5,0)</f>
        <v>880</v>
      </c>
      <c r="N5" s="4">
        <f>SUM(B5:M5)</f>
        <v>10560</v>
      </c>
    </row>
    <row r="6" spans="1:14" x14ac:dyDescent="0.25">
      <c r="A6" t="s">
        <v>122</v>
      </c>
      <c r="B6" s="4">
        <f>Revenue!B11*Assumptions!$B$30</f>
        <v>1400</v>
      </c>
      <c r="C6" s="4">
        <f>Revenue!C11*Assumptions!$B$30</f>
        <v>1904</v>
      </c>
      <c r="D6" s="4">
        <f>Revenue!D11*Assumptions!$B$30</f>
        <v>2310</v>
      </c>
      <c r="E6" s="4">
        <f>Revenue!E11*Assumptions!$B$30</f>
        <v>2653</v>
      </c>
      <c r="F6" s="4">
        <f>Revenue!F11*Assumptions!$B$30</f>
        <v>2957.5</v>
      </c>
      <c r="G6" s="4">
        <f>Revenue!G11*Assumptions!$B$30</f>
        <v>3237.5</v>
      </c>
      <c r="H6" s="4">
        <f>Revenue!H11*Assumptions!$B$30</f>
        <v>3503.5</v>
      </c>
      <c r="I6" s="4">
        <f>Revenue!I11*Assumptions!$B$30</f>
        <v>3762.5</v>
      </c>
      <c r="J6" s="4">
        <f>Revenue!J11*Assumptions!$B$30</f>
        <v>4021.5</v>
      </c>
      <c r="K6" s="4">
        <f>Revenue!K11*Assumptions!$B$30</f>
        <v>4287.5</v>
      </c>
      <c r="L6" s="4">
        <f>Revenue!L11*Assumptions!$B$30</f>
        <v>4564</v>
      </c>
      <c r="M6" s="4">
        <f>Revenue!M11*Assumptions!$B$30</f>
        <v>4847.5</v>
      </c>
      <c r="N6" s="4">
        <f>SUM(B6:M6)</f>
        <v>39448.5</v>
      </c>
    </row>
    <row r="7" spans="1:14" x14ac:dyDescent="0.25">
      <c r="A7" t="s">
        <v>123</v>
      </c>
      <c r="B7" s="4">
        <f>Assumptions!$B$29</f>
        <v>1200</v>
      </c>
      <c r="C7" s="4">
        <f>Assumptions!$B$29</f>
        <v>1200</v>
      </c>
      <c r="D7" s="4">
        <f>Assumptions!$B$29</f>
        <v>1200</v>
      </c>
      <c r="E7" s="4">
        <f>Assumptions!$B$29</f>
        <v>1200</v>
      </c>
      <c r="F7" s="4">
        <f>Assumptions!$B$29</f>
        <v>1200</v>
      </c>
      <c r="G7" s="4">
        <f>Assumptions!$B$29</f>
        <v>1200</v>
      </c>
      <c r="H7" s="4">
        <f>Assumptions!$B$29</f>
        <v>1200</v>
      </c>
      <c r="I7" s="4">
        <f>Assumptions!$B$29</f>
        <v>1200</v>
      </c>
      <c r="J7" s="4">
        <f>Assumptions!$B$29</f>
        <v>1200</v>
      </c>
      <c r="K7" s="4">
        <f>Assumptions!$B$29</f>
        <v>1200</v>
      </c>
      <c r="L7" s="4">
        <f>Assumptions!$B$29</f>
        <v>1200</v>
      </c>
      <c r="M7" s="4">
        <f>Assumptions!$B$29</f>
        <v>1200</v>
      </c>
      <c r="N7" s="4">
        <f>SUM(B7:M7)</f>
        <v>14400</v>
      </c>
    </row>
    <row r="8" spans="1:14" x14ac:dyDescent="0.25">
      <c r="A8" s="8" t="s">
        <v>124</v>
      </c>
      <c r="B8" s="13">
        <f>SUM(B4:B7)</f>
        <v>22092</v>
      </c>
      <c r="C8" s="13">
        <f t="shared" ref="C8:M8" si="0">SUM(C4:C7)</f>
        <v>29306</v>
      </c>
      <c r="D8" s="13">
        <f t="shared" si="0"/>
        <v>35124</v>
      </c>
      <c r="E8" s="13">
        <f t="shared" si="0"/>
        <v>40021</v>
      </c>
      <c r="F8" s="13">
        <f t="shared" si="0"/>
        <v>44373.5</v>
      </c>
      <c r="G8" s="13">
        <f t="shared" si="0"/>
        <v>48393.5</v>
      </c>
      <c r="H8" s="13">
        <f t="shared" si="0"/>
        <v>52179.5</v>
      </c>
      <c r="I8" s="13">
        <f t="shared" si="0"/>
        <v>55892.5</v>
      </c>
      <c r="J8" s="13">
        <f t="shared" si="0"/>
        <v>59605.5</v>
      </c>
      <c r="K8" s="13">
        <f t="shared" si="0"/>
        <v>63413.5</v>
      </c>
      <c r="L8" s="13">
        <f t="shared" si="0"/>
        <v>67342</v>
      </c>
      <c r="M8" s="13">
        <f t="shared" si="0"/>
        <v>71409.5</v>
      </c>
      <c r="N8" s="13">
        <f>SUM(B8:M8)</f>
        <v>589152.5</v>
      </c>
    </row>
    <row r="10" spans="1:14" x14ac:dyDescent="0.25">
      <c r="A10" s="37" t="s">
        <v>125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x14ac:dyDescent="0.25">
      <c r="A11" t="s">
        <v>126</v>
      </c>
      <c r="B11" s="4">
        <f>Assumptions!$B$27</f>
        <v>4500</v>
      </c>
      <c r="C11" s="4">
        <f>Assumptions!$B$27</f>
        <v>4500</v>
      </c>
      <c r="D11" s="4">
        <f>Assumptions!$B$27</f>
        <v>4500</v>
      </c>
      <c r="E11" s="4">
        <f>Assumptions!$B$27</f>
        <v>4500</v>
      </c>
      <c r="F11" s="4">
        <f>Assumptions!$B$27</f>
        <v>4500</v>
      </c>
      <c r="G11" s="4">
        <f>Assumptions!$B$27</f>
        <v>4500</v>
      </c>
      <c r="H11" s="4">
        <f>Assumptions!$B$27</f>
        <v>4500</v>
      </c>
      <c r="I11" s="4">
        <f>Assumptions!$B$27</f>
        <v>4500</v>
      </c>
      <c r="J11" s="4">
        <f>Assumptions!$B$27</f>
        <v>4500</v>
      </c>
      <c r="K11" s="4">
        <f>Assumptions!$B$27</f>
        <v>4500</v>
      </c>
      <c r="L11" s="4">
        <f>Assumptions!$B$27</f>
        <v>4500</v>
      </c>
      <c r="M11" s="4">
        <f>Assumptions!$B$27</f>
        <v>4500</v>
      </c>
      <c r="N11" s="4">
        <f>SUM(B11:M11)</f>
        <v>54000</v>
      </c>
    </row>
    <row r="12" spans="1:14" x14ac:dyDescent="0.25">
      <c r="A12" t="s">
        <v>127</v>
      </c>
      <c r="B12" s="4">
        <f>Assumptions!$B$28</f>
        <v>800</v>
      </c>
      <c r="C12" s="4">
        <f>Assumptions!$B$28</f>
        <v>800</v>
      </c>
      <c r="D12" s="4">
        <f>Assumptions!$B$28</f>
        <v>800</v>
      </c>
      <c r="E12" s="4">
        <f>Assumptions!$B$28</f>
        <v>800</v>
      </c>
      <c r="F12" s="4">
        <f>Assumptions!$B$28</f>
        <v>800</v>
      </c>
      <c r="G12" s="4">
        <f>Assumptions!$B$28</f>
        <v>800</v>
      </c>
      <c r="H12" s="4">
        <f>Assumptions!$B$28</f>
        <v>800</v>
      </c>
      <c r="I12" s="4">
        <f>Assumptions!$B$28</f>
        <v>800</v>
      </c>
      <c r="J12" s="4">
        <f>Assumptions!$B$28</f>
        <v>800</v>
      </c>
      <c r="K12" s="4">
        <f>Assumptions!$B$28</f>
        <v>800</v>
      </c>
      <c r="L12" s="4">
        <f>Assumptions!$B$28</f>
        <v>800</v>
      </c>
      <c r="M12" s="4">
        <f>Assumptions!$B$28</f>
        <v>800</v>
      </c>
      <c r="N12" s="4">
        <f>SUM(B12:M12)</f>
        <v>9600</v>
      </c>
    </row>
    <row r="13" spans="1:14" x14ac:dyDescent="0.25">
      <c r="A13" s="8" t="s">
        <v>128</v>
      </c>
      <c r="B13" s="13">
        <f>B11+B12</f>
        <v>5300</v>
      </c>
      <c r="C13" s="13">
        <f t="shared" ref="C13:M13" si="1">C11+C12</f>
        <v>5300</v>
      </c>
      <c r="D13" s="13">
        <f t="shared" si="1"/>
        <v>5300</v>
      </c>
      <c r="E13" s="13">
        <f t="shared" si="1"/>
        <v>5300</v>
      </c>
      <c r="F13" s="13">
        <f t="shared" si="1"/>
        <v>5300</v>
      </c>
      <c r="G13" s="13">
        <f t="shared" si="1"/>
        <v>5300</v>
      </c>
      <c r="H13" s="13">
        <f t="shared" si="1"/>
        <v>5300</v>
      </c>
      <c r="I13" s="13">
        <f t="shared" si="1"/>
        <v>5300</v>
      </c>
      <c r="J13" s="13">
        <f t="shared" si="1"/>
        <v>5300</v>
      </c>
      <c r="K13" s="13">
        <f t="shared" si="1"/>
        <v>5300</v>
      </c>
      <c r="L13" s="13">
        <f t="shared" si="1"/>
        <v>5300</v>
      </c>
      <c r="M13" s="13">
        <f t="shared" si="1"/>
        <v>5300</v>
      </c>
      <c r="N13" s="13">
        <f>SUM(B13:M13)</f>
        <v>63600</v>
      </c>
    </row>
    <row r="15" spans="1:14" x14ac:dyDescent="0.25">
      <c r="A15" s="37" t="s">
        <v>129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spans="1:14" x14ac:dyDescent="0.25">
      <c r="A16" t="s">
        <v>130</v>
      </c>
      <c r="B16" s="12">
        <f>Assumptions!$B$31</f>
        <v>6</v>
      </c>
      <c r="C16" s="12">
        <f>B16</f>
        <v>6</v>
      </c>
      <c r="D16" s="12">
        <f>C16</f>
        <v>6</v>
      </c>
      <c r="E16" s="12">
        <f>D16+Assumptions!$B$34</f>
        <v>8</v>
      </c>
      <c r="F16" s="12">
        <f>E16</f>
        <v>8</v>
      </c>
      <c r="G16" s="12">
        <f>F16</f>
        <v>8</v>
      </c>
      <c r="H16" s="12">
        <f>G16+Assumptions!$B$34</f>
        <v>10</v>
      </c>
      <c r="I16" s="12">
        <f>H16</f>
        <v>10</v>
      </c>
      <c r="J16" s="12">
        <f>I16</f>
        <v>10</v>
      </c>
      <c r="K16" s="12">
        <f>J16+Assumptions!$B$34</f>
        <v>12</v>
      </c>
      <c r="L16" s="12">
        <f>K16</f>
        <v>12</v>
      </c>
      <c r="M16" s="12">
        <f>L16</f>
        <v>12</v>
      </c>
      <c r="N16" s="12">
        <f>M16</f>
        <v>12</v>
      </c>
    </row>
    <row r="17" spans="1:14" x14ac:dyDescent="0.25">
      <c r="A17" t="s">
        <v>131</v>
      </c>
      <c r="B17" s="4">
        <f>Assumptions!$B$32</f>
        <v>5500</v>
      </c>
      <c r="C17" s="4">
        <f>B17</f>
        <v>5500</v>
      </c>
      <c r="D17" s="4">
        <f>C17</f>
        <v>5500</v>
      </c>
      <c r="E17" s="4">
        <f>D17*(1+Assumptions!$B$33)</f>
        <v>5665</v>
      </c>
      <c r="F17" s="4">
        <f>E17</f>
        <v>5665</v>
      </c>
      <c r="G17" s="4">
        <f>F17</f>
        <v>5665</v>
      </c>
      <c r="H17" s="4">
        <f>G17*(1+Assumptions!$B$33)</f>
        <v>5834.95</v>
      </c>
      <c r="I17" s="4">
        <f>H17</f>
        <v>5834.95</v>
      </c>
      <c r="J17" s="4">
        <f>I17</f>
        <v>5834.95</v>
      </c>
      <c r="K17" s="4">
        <f>J17*(1+Assumptions!$B$33)</f>
        <v>6009.9984999999997</v>
      </c>
      <c r="L17" s="4">
        <f>K17</f>
        <v>6009.9984999999997</v>
      </c>
      <c r="M17" s="4">
        <f>L17</f>
        <v>6009.9984999999997</v>
      </c>
      <c r="N17" s="4">
        <f>AVERAGE(B17:M17)</f>
        <v>5752.4871249999997</v>
      </c>
    </row>
    <row r="18" spans="1:14" x14ac:dyDescent="0.25">
      <c r="A18" s="8" t="s">
        <v>132</v>
      </c>
      <c r="B18" s="13">
        <f>B16*B17</f>
        <v>33000</v>
      </c>
      <c r="C18" s="13">
        <f t="shared" ref="C18:M18" si="2">C16*C17</f>
        <v>33000</v>
      </c>
      <c r="D18" s="13">
        <f t="shared" si="2"/>
        <v>33000</v>
      </c>
      <c r="E18" s="13">
        <f t="shared" si="2"/>
        <v>45320</v>
      </c>
      <c r="F18" s="13">
        <f t="shared" si="2"/>
        <v>45320</v>
      </c>
      <c r="G18" s="13">
        <f t="shared" si="2"/>
        <v>45320</v>
      </c>
      <c r="H18" s="13">
        <f t="shared" si="2"/>
        <v>58349.5</v>
      </c>
      <c r="I18" s="13">
        <f t="shared" si="2"/>
        <v>58349.5</v>
      </c>
      <c r="J18" s="13">
        <f t="shared" si="2"/>
        <v>58349.5</v>
      </c>
      <c r="K18" s="13">
        <f t="shared" si="2"/>
        <v>72119.981999999989</v>
      </c>
      <c r="L18" s="13">
        <f t="shared" si="2"/>
        <v>72119.981999999989</v>
      </c>
      <c r="M18" s="13">
        <f t="shared" si="2"/>
        <v>72119.981999999989</v>
      </c>
      <c r="N18" s="13">
        <f>SUM(B18:M18)</f>
        <v>626368.44599999988</v>
      </c>
    </row>
    <row r="20" spans="1:14" x14ac:dyDescent="0.25">
      <c r="A20" s="37" t="s">
        <v>133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 x14ac:dyDescent="0.25">
      <c r="A21" t="s">
        <v>134</v>
      </c>
      <c r="B21" s="4">
        <f>MAX(Revenue!B21*Assumptions!$B$35, Assumptions!$B$36)</f>
        <v>6979.4999999999991</v>
      </c>
      <c r="C21" s="4">
        <f>MAX(Revenue!C21*Assumptions!$B$35, Assumptions!$B$36)</f>
        <v>9725.1</v>
      </c>
      <c r="D21" s="4">
        <f>MAX(Revenue!D21*Assumptions!$B$35, Assumptions!$B$36)</f>
        <v>11925.622499999999</v>
      </c>
      <c r="E21" s="4">
        <f>MAX(Revenue!E21*Assumptions!$B$35, Assumptions!$B$36)</f>
        <v>13771.394999999999</v>
      </c>
      <c r="F21" s="4">
        <f>MAX(Revenue!F21*Assumptions!$B$35, Assumptions!$B$36)</f>
        <v>15392.025</v>
      </c>
      <c r="G21" s="4">
        <f>MAX(Revenue!G21*Assumptions!$B$35, Assumptions!$B$36)</f>
        <v>16889.399999999998</v>
      </c>
      <c r="H21" s="4">
        <f>MAX(Revenue!H21*Assumptions!$B$35, Assumptions!$B$36)</f>
        <v>18299.490000000002</v>
      </c>
      <c r="I21" s="4">
        <f>MAX(Revenue!I21*Assumptions!$B$35, Assumptions!$B$36)</f>
        <v>19664.039999999997</v>
      </c>
      <c r="J21" s="4">
        <f>MAX(Revenue!J21*Assumptions!$B$35, Assumptions!$B$36)</f>
        <v>21033.044999999998</v>
      </c>
      <c r="K21" s="4">
        <f>MAX(Revenue!K21*Assumptions!$B$35, Assumptions!$B$36)</f>
        <v>22431.75</v>
      </c>
      <c r="L21" s="4">
        <f>MAX(Revenue!L21*Assumptions!$B$35, Assumptions!$B$36)</f>
        <v>23879.13</v>
      </c>
      <c r="M21" s="4">
        <f>MAX(Revenue!M21*Assumptions!$B$35, Assumptions!$B$36)</f>
        <v>25364.46</v>
      </c>
      <c r="N21" s="4">
        <f>SUM(B21:M21)</f>
        <v>205354.95749999999</v>
      </c>
    </row>
    <row r="22" spans="1:14" x14ac:dyDescent="0.25">
      <c r="A22" t="s">
        <v>135</v>
      </c>
      <c r="B22" s="4">
        <f>Revenue!B4*Assumptions!$B$19</f>
        <v>11000</v>
      </c>
      <c r="C22" s="4">
        <f>Revenue!C4*Assumptions!$B$19</f>
        <v>11660</v>
      </c>
      <c r="D22" s="4">
        <f>Revenue!D4*Assumptions!$B$19</f>
        <v>12347.5</v>
      </c>
      <c r="E22" s="4">
        <f>Revenue!E4*Assumptions!$B$19</f>
        <v>13090</v>
      </c>
      <c r="F22" s="4">
        <f>Revenue!F4*Assumptions!$B$19</f>
        <v>13887.5</v>
      </c>
      <c r="G22" s="4">
        <f>Revenue!G4*Assumptions!$B$19</f>
        <v>14712.5</v>
      </c>
      <c r="H22" s="4">
        <f>Revenue!H4*Assumptions!$B$19</f>
        <v>15592.5</v>
      </c>
      <c r="I22" s="4">
        <f>Revenue!I4*Assumptions!$B$19</f>
        <v>16527.5</v>
      </c>
      <c r="J22" s="4">
        <f>Revenue!J4*Assumptions!$B$19</f>
        <v>17517.5</v>
      </c>
      <c r="K22" s="4">
        <f>Revenue!K4*Assumptions!$B$19</f>
        <v>18562.5</v>
      </c>
      <c r="L22" s="4">
        <f>Revenue!L4*Assumptions!$B$19</f>
        <v>19690</v>
      </c>
      <c r="M22" s="4">
        <f>Revenue!M4*Assumptions!$B$19</f>
        <v>20872.5</v>
      </c>
      <c r="N22" s="4">
        <f>SUM(B22:M22)</f>
        <v>185460</v>
      </c>
    </row>
    <row r="23" spans="1:14" x14ac:dyDescent="0.25">
      <c r="A23" s="8" t="s">
        <v>136</v>
      </c>
      <c r="B23" s="13">
        <f>B21+B22</f>
        <v>17979.5</v>
      </c>
      <c r="C23" s="13">
        <f t="shared" ref="C23:M23" si="3">C21+C22</f>
        <v>21385.1</v>
      </c>
      <c r="D23" s="13">
        <f t="shared" si="3"/>
        <v>24273.122499999998</v>
      </c>
      <c r="E23" s="13">
        <f t="shared" si="3"/>
        <v>26861.394999999997</v>
      </c>
      <c r="F23" s="13">
        <f t="shared" si="3"/>
        <v>29279.525000000001</v>
      </c>
      <c r="G23" s="13">
        <f t="shared" si="3"/>
        <v>31601.899999999998</v>
      </c>
      <c r="H23" s="13">
        <f t="shared" si="3"/>
        <v>33891.990000000005</v>
      </c>
      <c r="I23" s="13">
        <f t="shared" si="3"/>
        <v>36191.539999999994</v>
      </c>
      <c r="J23" s="13">
        <f t="shared" si="3"/>
        <v>38550.544999999998</v>
      </c>
      <c r="K23" s="13">
        <f t="shared" si="3"/>
        <v>40994.25</v>
      </c>
      <c r="L23" s="13">
        <f t="shared" si="3"/>
        <v>43569.130000000005</v>
      </c>
      <c r="M23" s="13">
        <f t="shared" si="3"/>
        <v>46236.959999999999</v>
      </c>
      <c r="N23" s="13">
        <f>SUM(B23:M23)</f>
        <v>390814.95749999996</v>
      </c>
    </row>
    <row r="25" spans="1:14" x14ac:dyDescent="0.25">
      <c r="A25" s="37" t="s">
        <v>137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4" x14ac:dyDescent="0.25">
      <c r="A26" t="s">
        <v>67</v>
      </c>
      <c r="B26" s="4">
        <f>Assumptions!$B$37</f>
        <v>1500</v>
      </c>
      <c r="C26" s="4">
        <f>Assumptions!$B$37</f>
        <v>1500</v>
      </c>
      <c r="D26" s="4">
        <f>Assumptions!$B$37</f>
        <v>1500</v>
      </c>
      <c r="E26" s="4">
        <f>Assumptions!$B$37</f>
        <v>1500</v>
      </c>
      <c r="F26" s="4">
        <f>Assumptions!$B$37</f>
        <v>1500</v>
      </c>
      <c r="G26" s="4">
        <f>Assumptions!$B$37</f>
        <v>1500</v>
      </c>
      <c r="H26" s="4">
        <f>Assumptions!$B$37</f>
        <v>1500</v>
      </c>
      <c r="I26" s="4">
        <f>Assumptions!$B$37</f>
        <v>1500</v>
      </c>
      <c r="J26" s="4">
        <f>Assumptions!$B$37</f>
        <v>1500</v>
      </c>
      <c r="K26" s="4">
        <f>Assumptions!$B$37</f>
        <v>1500</v>
      </c>
      <c r="L26" s="4">
        <f>Assumptions!$B$37</f>
        <v>1500</v>
      </c>
      <c r="M26" s="4">
        <f>Assumptions!$B$37</f>
        <v>1500</v>
      </c>
      <c r="N26" s="4">
        <f>SUM(B26:M26)</f>
        <v>18000</v>
      </c>
    </row>
    <row r="27" spans="1:14" x14ac:dyDescent="0.25">
      <c r="A27" t="s">
        <v>138</v>
      </c>
      <c r="B27" s="4">
        <f>Assumptions!$B$38</f>
        <v>1000</v>
      </c>
      <c r="C27" s="4">
        <f>Assumptions!$B$38</f>
        <v>1000</v>
      </c>
      <c r="D27" s="4">
        <f>Assumptions!$B$38</f>
        <v>1000</v>
      </c>
      <c r="E27" s="4">
        <f>Assumptions!$B$38</f>
        <v>1000</v>
      </c>
      <c r="F27" s="4">
        <f>Assumptions!$B$38</f>
        <v>1000</v>
      </c>
      <c r="G27" s="4">
        <f>Assumptions!$B$38</f>
        <v>1000</v>
      </c>
      <c r="H27" s="4">
        <f>Assumptions!$B$38</f>
        <v>1000</v>
      </c>
      <c r="I27" s="4">
        <f>Assumptions!$B$38</f>
        <v>1000</v>
      </c>
      <c r="J27" s="4">
        <f>Assumptions!$B$38</f>
        <v>1000</v>
      </c>
      <c r="K27" s="4">
        <f>Assumptions!$B$38</f>
        <v>1000</v>
      </c>
      <c r="L27" s="4">
        <f>Assumptions!$B$38</f>
        <v>1000</v>
      </c>
      <c r="M27" s="4">
        <f>Assumptions!$B$38</f>
        <v>1000</v>
      </c>
      <c r="N27" s="4">
        <f>SUM(B27:M27)</f>
        <v>12000</v>
      </c>
    </row>
    <row r="28" spans="1:14" x14ac:dyDescent="0.25">
      <c r="A28" t="s">
        <v>139</v>
      </c>
      <c r="B28" s="4">
        <f>Assumptions!$B$49</f>
        <v>500</v>
      </c>
      <c r="C28" s="4">
        <f>Assumptions!$B$49</f>
        <v>500</v>
      </c>
      <c r="D28" s="4">
        <f>Assumptions!$B$49</f>
        <v>500</v>
      </c>
      <c r="E28" s="4">
        <f>Assumptions!$B$49</f>
        <v>500</v>
      </c>
      <c r="F28" s="4">
        <f>Assumptions!$B$49</f>
        <v>500</v>
      </c>
      <c r="G28" s="4">
        <f>Assumptions!$B$49</f>
        <v>500</v>
      </c>
      <c r="H28" s="4">
        <f>Assumptions!$B$49</f>
        <v>500</v>
      </c>
      <c r="I28" s="4">
        <f>Assumptions!$B$49</f>
        <v>500</v>
      </c>
      <c r="J28" s="4">
        <f>Assumptions!$B$49</f>
        <v>500</v>
      </c>
      <c r="K28" s="4">
        <f>Assumptions!$B$49</f>
        <v>500</v>
      </c>
      <c r="L28" s="4">
        <f>Assumptions!$B$49</f>
        <v>500</v>
      </c>
      <c r="M28" s="4">
        <f>Assumptions!$B$49</f>
        <v>500</v>
      </c>
      <c r="N28" s="4">
        <f>SUM(B28:M28)</f>
        <v>6000</v>
      </c>
    </row>
    <row r="29" spans="1:14" x14ac:dyDescent="0.25">
      <c r="A29" t="s">
        <v>71</v>
      </c>
      <c r="B29" s="4">
        <f>Assumptions!$B$39</f>
        <v>800</v>
      </c>
      <c r="C29" s="4">
        <f>Assumptions!$B$39</f>
        <v>800</v>
      </c>
      <c r="D29" s="4">
        <f>Assumptions!$B$39</f>
        <v>800</v>
      </c>
      <c r="E29" s="4">
        <f>Assumptions!$B$39</f>
        <v>800</v>
      </c>
      <c r="F29" s="4">
        <f>Assumptions!$B$39</f>
        <v>800</v>
      </c>
      <c r="G29" s="4">
        <f>Assumptions!$B$39</f>
        <v>800</v>
      </c>
      <c r="H29" s="4">
        <f>Assumptions!$B$39</f>
        <v>800</v>
      </c>
      <c r="I29" s="4">
        <f>Assumptions!$B$39</f>
        <v>800</v>
      </c>
      <c r="J29" s="4">
        <f>Assumptions!$B$39</f>
        <v>800</v>
      </c>
      <c r="K29" s="4">
        <f>Assumptions!$B$39</f>
        <v>800</v>
      </c>
      <c r="L29" s="4">
        <f>Assumptions!$B$39</f>
        <v>800</v>
      </c>
      <c r="M29" s="4">
        <f>Assumptions!$B$39</f>
        <v>800</v>
      </c>
      <c r="N29" s="4">
        <f>SUM(B29:M29)</f>
        <v>9600</v>
      </c>
    </row>
    <row r="30" spans="1:14" x14ac:dyDescent="0.25">
      <c r="A30" s="8" t="s">
        <v>140</v>
      </c>
      <c r="B30" s="13">
        <f>SUM(B26:B29)</f>
        <v>3800</v>
      </c>
      <c r="C30" s="13">
        <f t="shared" ref="C30:M30" si="4">SUM(C26:C29)</f>
        <v>3800</v>
      </c>
      <c r="D30" s="13">
        <f t="shared" si="4"/>
        <v>3800</v>
      </c>
      <c r="E30" s="13">
        <f t="shared" si="4"/>
        <v>3800</v>
      </c>
      <c r="F30" s="13">
        <f t="shared" si="4"/>
        <v>3800</v>
      </c>
      <c r="G30" s="13">
        <f t="shared" si="4"/>
        <v>3800</v>
      </c>
      <c r="H30" s="13">
        <f t="shared" si="4"/>
        <v>3800</v>
      </c>
      <c r="I30" s="13">
        <f t="shared" si="4"/>
        <v>3800</v>
      </c>
      <c r="J30" s="13">
        <f t="shared" si="4"/>
        <v>3800</v>
      </c>
      <c r="K30" s="13">
        <f t="shared" si="4"/>
        <v>3800</v>
      </c>
      <c r="L30" s="13">
        <f t="shared" si="4"/>
        <v>3800</v>
      </c>
      <c r="M30" s="13">
        <f t="shared" si="4"/>
        <v>3800</v>
      </c>
      <c r="N30" s="13">
        <f>SUM(B30:M30)</f>
        <v>45600</v>
      </c>
    </row>
    <row r="32" spans="1:14" x14ac:dyDescent="0.25">
      <c r="A32" s="14" t="s">
        <v>141</v>
      </c>
      <c r="B32" s="15">
        <f>B8+B13+B18+B23+B30</f>
        <v>82171.5</v>
      </c>
      <c r="C32" s="15">
        <f t="shared" ref="C32:M32" si="5">C8+C13+C18+C23+C30</f>
        <v>92791.1</v>
      </c>
      <c r="D32" s="15">
        <f t="shared" si="5"/>
        <v>101497.1225</v>
      </c>
      <c r="E32" s="15">
        <f t="shared" si="5"/>
        <v>121302.39499999999</v>
      </c>
      <c r="F32" s="15">
        <f t="shared" si="5"/>
        <v>128073.02499999999</v>
      </c>
      <c r="G32" s="15">
        <f t="shared" si="5"/>
        <v>134415.4</v>
      </c>
      <c r="H32" s="15">
        <f t="shared" si="5"/>
        <v>153520.99</v>
      </c>
      <c r="I32" s="15">
        <f t="shared" si="5"/>
        <v>159533.53999999998</v>
      </c>
      <c r="J32" s="15">
        <f t="shared" si="5"/>
        <v>165605.54499999998</v>
      </c>
      <c r="K32" s="15">
        <f t="shared" si="5"/>
        <v>185627.73199999999</v>
      </c>
      <c r="L32" s="15">
        <f t="shared" si="5"/>
        <v>192131.11199999999</v>
      </c>
      <c r="M32" s="15">
        <f t="shared" si="5"/>
        <v>198866.44199999998</v>
      </c>
      <c r="N32" s="15">
        <f>SUM(B32:M32)</f>
        <v>1715535.9035</v>
      </c>
    </row>
  </sheetData>
  <mergeCells count="6">
    <mergeCell ref="A25:N25"/>
    <mergeCell ref="A1:N1"/>
    <mergeCell ref="A3:N3"/>
    <mergeCell ref="A10:N10"/>
    <mergeCell ref="A15:N15"/>
    <mergeCell ref="A20:N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2235-2C27-44BB-9F32-C325DF18A2F8}">
  <dimension ref="A1:N53"/>
  <sheetViews>
    <sheetView workbookViewId="0">
      <pane xSplit="1" topLeftCell="B1" activePane="topRight" state="frozen"/>
      <selection pane="topRight" sqref="A1:N1"/>
    </sheetView>
  </sheetViews>
  <sheetFormatPr defaultRowHeight="15" x14ac:dyDescent="0.25"/>
  <cols>
    <col min="1" max="1" width="41.85546875" customWidth="1"/>
    <col min="2" max="14" width="17.140625" customWidth="1"/>
  </cols>
  <sheetData>
    <row r="1" spans="1:14" ht="18.75" x14ac:dyDescent="0.3">
      <c r="A1" s="35" t="s">
        <v>142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9"/>
      <c r="B2" s="10">
        <v>46048</v>
      </c>
      <c r="C2" s="10">
        <v>46079</v>
      </c>
      <c r="D2" s="10">
        <v>46107</v>
      </c>
      <c r="E2" s="10">
        <v>46138</v>
      </c>
      <c r="F2" s="10">
        <v>46168</v>
      </c>
      <c r="G2" s="10">
        <v>46199</v>
      </c>
      <c r="H2" s="10">
        <v>46229</v>
      </c>
      <c r="I2" s="10">
        <v>46260</v>
      </c>
      <c r="J2" s="10">
        <v>46291</v>
      </c>
      <c r="K2" s="10">
        <v>46321</v>
      </c>
      <c r="L2" s="10">
        <v>46352</v>
      </c>
      <c r="M2" s="10">
        <v>46382</v>
      </c>
      <c r="N2" s="9" t="s">
        <v>143</v>
      </c>
    </row>
    <row r="3" spans="1:14" x14ac:dyDescent="0.25">
      <c r="A3" s="1" t="s">
        <v>104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x14ac:dyDescent="0.25">
      <c r="A4" t="s">
        <v>105</v>
      </c>
      <c r="B4" s="4">
        <f>Revenue!B19</f>
        <v>50599.999999999993</v>
      </c>
      <c r="C4" s="4">
        <f>Revenue!C19</f>
        <v>70334</v>
      </c>
      <c r="D4" s="4">
        <f>Revenue!D19</f>
        <v>86159.15</v>
      </c>
      <c r="E4" s="4">
        <f>Revenue!E19</f>
        <v>99454.299999999988</v>
      </c>
      <c r="F4" s="4">
        <f>Revenue!F19</f>
        <v>111193.5</v>
      </c>
      <c r="G4" s="4">
        <f>Revenue!G19</f>
        <v>121946</v>
      </c>
      <c r="H4" s="4">
        <f>Revenue!H19</f>
        <v>132116.6</v>
      </c>
      <c r="I4" s="4">
        <f>Revenue!I19</f>
        <v>141983.59999999998</v>
      </c>
      <c r="J4" s="4">
        <f>Revenue!J19</f>
        <v>151825.29999999999</v>
      </c>
      <c r="K4" s="4">
        <f>Revenue!K19</f>
        <v>161920</v>
      </c>
      <c r="L4" s="4">
        <f>Revenue!L19</f>
        <v>172394.2</v>
      </c>
      <c r="M4" s="4">
        <f>Revenue!M19</f>
        <v>183121.4</v>
      </c>
      <c r="N4" s="4">
        <f>SUM(B4:M4)</f>
        <v>1483048.0499999998</v>
      </c>
    </row>
    <row r="5" spans="1:14" x14ac:dyDescent="0.25">
      <c r="A5" t="s">
        <v>106</v>
      </c>
      <c r="B5" s="4">
        <f>Revenue!B20</f>
        <v>-4070</v>
      </c>
      <c r="C5" s="4">
        <f>Revenue!C20</f>
        <v>-5500</v>
      </c>
      <c r="D5" s="4">
        <f>Revenue!D20</f>
        <v>-6655</v>
      </c>
      <c r="E5" s="4">
        <f>Revenue!E20</f>
        <v>-7645</v>
      </c>
      <c r="F5" s="4">
        <f>Revenue!F20</f>
        <v>-8580</v>
      </c>
      <c r="G5" s="4">
        <f>Revenue!G20</f>
        <v>-9350</v>
      </c>
      <c r="H5" s="4">
        <f>Revenue!H20</f>
        <v>-10120</v>
      </c>
      <c r="I5" s="4">
        <f>Revenue!I20</f>
        <v>-10890</v>
      </c>
      <c r="J5" s="4">
        <f>Revenue!J20</f>
        <v>-11605</v>
      </c>
      <c r="K5" s="4">
        <f>Revenue!K20</f>
        <v>-12375</v>
      </c>
      <c r="L5" s="4">
        <f>Revenue!L20</f>
        <v>-13200</v>
      </c>
      <c r="M5" s="4">
        <f>Revenue!M20</f>
        <v>-14025</v>
      </c>
      <c r="N5" s="4">
        <f>SUM(B5:M5)</f>
        <v>-114015</v>
      </c>
    </row>
    <row r="6" spans="1:14" ht="15.75" thickBot="1" x14ac:dyDescent="0.3">
      <c r="A6" s="17" t="s">
        <v>107</v>
      </c>
      <c r="B6" s="21">
        <f>B4+B5</f>
        <v>46529.999999999993</v>
      </c>
      <c r="C6" s="21">
        <f t="shared" ref="C6:M6" si="0">C4+C5</f>
        <v>64834</v>
      </c>
      <c r="D6" s="21">
        <f t="shared" si="0"/>
        <v>79504.149999999994</v>
      </c>
      <c r="E6" s="21">
        <f t="shared" si="0"/>
        <v>91809.299999999988</v>
      </c>
      <c r="F6" s="21">
        <f t="shared" si="0"/>
        <v>102613.5</v>
      </c>
      <c r="G6" s="21">
        <f t="shared" si="0"/>
        <v>112596</v>
      </c>
      <c r="H6" s="21">
        <f t="shared" si="0"/>
        <v>121996.6</v>
      </c>
      <c r="I6" s="21">
        <f t="shared" si="0"/>
        <v>131093.59999999998</v>
      </c>
      <c r="J6" s="21">
        <f t="shared" si="0"/>
        <v>140220.29999999999</v>
      </c>
      <c r="K6" s="21">
        <f t="shared" si="0"/>
        <v>149545</v>
      </c>
      <c r="L6" s="21">
        <f t="shared" si="0"/>
        <v>159194.20000000001</v>
      </c>
      <c r="M6" s="21">
        <f t="shared" si="0"/>
        <v>169096.4</v>
      </c>
      <c r="N6" s="21">
        <f>SUM(B6:M6)</f>
        <v>1369033.0499999998</v>
      </c>
    </row>
    <row r="7" spans="1:14" ht="15.75" thickTop="1" x14ac:dyDescent="0.25"/>
    <row r="8" spans="1:14" x14ac:dyDescent="0.25">
      <c r="A8" s="1" t="s">
        <v>144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x14ac:dyDescent="0.25">
      <c r="A9" t="s">
        <v>145</v>
      </c>
      <c r="B9" s="4">
        <f>Revenue!B25</f>
        <v>18612</v>
      </c>
      <c r="C9" s="4">
        <f>Revenue!C25</f>
        <v>25322</v>
      </c>
      <c r="D9" s="4">
        <f>Revenue!D25</f>
        <v>30734</v>
      </c>
      <c r="E9" s="4">
        <f>Revenue!E25</f>
        <v>35288</v>
      </c>
      <c r="F9" s="4">
        <f>Revenue!F25</f>
        <v>39336</v>
      </c>
      <c r="G9" s="4">
        <f>Revenue!G25</f>
        <v>43076</v>
      </c>
      <c r="H9" s="4">
        <f>Revenue!H25</f>
        <v>46596</v>
      </c>
      <c r="I9" s="4">
        <f>Revenue!I25</f>
        <v>50050</v>
      </c>
      <c r="J9" s="4">
        <f>Revenue!J25</f>
        <v>53504</v>
      </c>
      <c r="K9" s="4">
        <f>Revenue!K25</f>
        <v>57046</v>
      </c>
      <c r="L9" s="4">
        <f>Revenue!L25</f>
        <v>60698</v>
      </c>
      <c r="M9" s="4">
        <f>Revenue!M25</f>
        <v>64482</v>
      </c>
      <c r="N9" s="4">
        <f>SUM(B9:M9)</f>
        <v>524744</v>
      </c>
    </row>
    <row r="10" spans="1:14" x14ac:dyDescent="0.25">
      <c r="A10" t="s">
        <v>122</v>
      </c>
      <c r="B10" s="4">
        <f>Expenses!B6</f>
        <v>1400</v>
      </c>
      <c r="C10" s="4">
        <f>Expenses!C6</f>
        <v>1904</v>
      </c>
      <c r="D10" s="4">
        <f>Expenses!D6</f>
        <v>2310</v>
      </c>
      <c r="E10" s="4">
        <f>Expenses!E6</f>
        <v>2653</v>
      </c>
      <c r="F10" s="4">
        <f>Expenses!F6</f>
        <v>2957.5</v>
      </c>
      <c r="G10" s="4">
        <f>Expenses!G6</f>
        <v>3237.5</v>
      </c>
      <c r="H10" s="4">
        <f>Expenses!H6</f>
        <v>3503.5</v>
      </c>
      <c r="I10" s="4">
        <f>Expenses!I6</f>
        <v>3762.5</v>
      </c>
      <c r="J10" s="4">
        <f>Expenses!J6</f>
        <v>4021.5</v>
      </c>
      <c r="K10" s="4">
        <f>Expenses!K6</f>
        <v>4287.5</v>
      </c>
      <c r="L10" s="4">
        <f>Expenses!L6</f>
        <v>4564</v>
      </c>
      <c r="M10" s="4">
        <f>Expenses!M6</f>
        <v>4847.5</v>
      </c>
      <c r="N10" s="4">
        <f>SUM(B10:M10)</f>
        <v>39448.5</v>
      </c>
    </row>
    <row r="11" spans="1:14" x14ac:dyDescent="0.25">
      <c r="A11" t="s">
        <v>121</v>
      </c>
      <c r="B11" s="4">
        <f>Expenses!B5</f>
        <v>880</v>
      </c>
      <c r="C11" s="4">
        <f>Expenses!C5</f>
        <v>880</v>
      </c>
      <c r="D11" s="4">
        <f>Expenses!D5</f>
        <v>880</v>
      </c>
      <c r="E11" s="4">
        <f>Expenses!E5</f>
        <v>880</v>
      </c>
      <c r="F11" s="4">
        <f>Expenses!F5</f>
        <v>880</v>
      </c>
      <c r="G11" s="4">
        <f>Expenses!G5</f>
        <v>880</v>
      </c>
      <c r="H11" s="4">
        <f>Expenses!H5</f>
        <v>880</v>
      </c>
      <c r="I11" s="4">
        <f>Expenses!I5</f>
        <v>880</v>
      </c>
      <c r="J11" s="4">
        <f>Expenses!J5</f>
        <v>880</v>
      </c>
      <c r="K11" s="4">
        <f>Expenses!K5</f>
        <v>880</v>
      </c>
      <c r="L11" s="4">
        <f>Expenses!L5</f>
        <v>880</v>
      </c>
      <c r="M11" s="4">
        <f>Expenses!M5</f>
        <v>880</v>
      </c>
      <c r="N11" s="4">
        <f>SUM(B11:M11)</f>
        <v>10560</v>
      </c>
    </row>
    <row r="12" spans="1:14" x14ac:dyDescent="0.25">
      <c r="A12" s="8" t="s">
        <v>146</v>
      </c>
      <c r="B12" s="13">
        <f>SUM(B9:B11)</f>
        <v>20892</v>
      </c>
      <c r="C12" s="13">
        <f t="shared" ref="C12:M12" si="1">SUM(C9:C11)</f>
        <v>28106</v>
      </c>
      <c r="D12" s="13">
        <f t="shared" si="1"/>
        <v>33924</v>
      </c>
      <c r="E12" s="13">
        <f t="shared" si="1"/>
        <v>38821</v>
      </c>
      <c r="F12" s="13">
        <f t="shared" si="1"/>
        <v>43173.5</v>
      </c>
      <c r="G12" s="13">
        <f t="shared" si="1"/>
        <v>47193.5</v>
      </c>
      <c r="H12" s="13">
        <f t="shared" si="1"/>
        <v>50979.5</v>
      </c>
      <c r="I12" s="13">
        <f t="shared" si="1"/>
        <v>54692.5</v>
      </c>
      <c r="J12" s="13">
        <f t="shared" si="1"/>
        <v>58405.5</v>
      </c>
      <c r="K12" s="13">
        <f t="shared" si="1"/>
        <v>62213.5</v>
      </c>
      <c r="L12" s="13">
        <f t="shared" si="1"/>
        <v>66142</v>
      </c>
      <c r="M12" s="13">
        <f t="shared" si="1"/>
        <v>70209.5</v>
      </c>
      <c r="N12" s="13">
        <f>SUM(B12:M12)</f>
        <v>574752.5</v>
      </c>
    </row>
    <row r="14" spans="1:14" x14ac:dyDescent="0.25">
      <c r="A14" s="18" t="s">
        <v>147</v>
      </c>
      <c r="B14" s="22">
        <f>B6-B12</f>
        <v>25637.999999999993</v>
      </c>
      <c r="C14" s="22">
        <f t="shared" ref="C14:M14" si="2">C6-C12</f>
        <v>36728</v>
      </c>
      <c r="D14" s="22">
        <f t="shared" si="2"/>
        <v>45580.149999999994</v>
      </c>
      <c r="E14" s="22">
        <f t="shared" si="2"/>
        <v>52988.299999999988</v>
      </c>
      <c r="F14" s="22">
        <f t="shared" si="2"/>
        <v>59440</v>
      </c>
      <c r="G14" s="22">
        <f t="shared" si="2"/>
        <v>65402.5</v>
      </c>
      <c r="H14" s="22">
        <f t="shared" si="2"/>
        <v>71017.100000000006</v>
      </c>
      <c r="I14" s="22">
        <f t="shared" si="2"/>
        <v>76401.099999999977</v>
      </c>
      <c r="J14" s="22">
        <f t="shared" si="2"/>
        <v>81814.799999999988</v>
      </c>
      <c r="K14" s="22">
        <f t="shared" si="2"/>
        <v>87331.5</v>
      </c>
      <c r="L14" s="22">
        <f t="shared" si="2"/>
        <v>93052.200000000012</v>
      </c>
      <c r="M14" s="22">
        <f t="shared" si="2"/>
        <v>98886.9</v>
      </c>
      <c r="N14" s="22">
        <f>SUM(B14:M14)</f>
        <v>794280.54999999993</v>
      </c>
    </row>
    <row r="15" spans="1:14" x14ac:dyDescent="0.25">
      <c r="A15" t="s">
        <v>9</v>
      </c>
      <c r="B15" s="2">
        <f>IF(B6=0,0,B14/B6)</f>
        <v>0.55099935525467436</v>
      </c>
      <c r="C15" s="2">
        <f t="shared" ref="C15:M15" si="3">IF(C6=0,0,C14/C6)</f>
        <v>0.56649288953326959</v>
      </c>
      <c r="D15" s="2">
        <f t="shared" si="3"/>
        <v>0.57330529286835963</v>
      </c>
      <c r="E15" s="2">
        <f t="shared" si="3"/>
        <v>0.57715612688474904</v>
      </c>
      <c r="F15" s="2">
        <f t="shared" si="3"/>
        <v>0.57926101341441427</v>
      </c>
      <c r="G15" s="2">
        <f t="shared" si="3"/>
        <v>0.58085988845074421</v>
      </c>
      <c r="H15" s="2">
        <f t="shared" si="3"/>
        <v>0.58212360016590625</v>
      </c>
      <c r="I15" s="2">
        <f t="shared" si="3"/>
        <v>0.58279809235538571</v>
      </c>
      <c r="J15" s="2">
        <f t="shared" si="3"/>
        <v>0.58347329167032158</v>
      </c>
      <c r="K15" s="2">
        <f t="shared" si="3"/>
        <v>0.58398141027784278</v>
      </c>
      <c r="L15" s="2">
        <f t="shared" si="3"/>
        <v>0.58452003904664873</v>
      </c>
      <c r="M15" s="2">
        <f t="shared" si="3"/>
        <v>0.58479600985000268</v>
      </c>
      <c r="N15" s="2">
        <f>IF(N6=0,0,N14/N6)</f>
        <v>0.58017631495455868</v>
      </c>
    </row>
    <row r="17" spans="1:14" x14ac:dyDescent="0.25">
      <c r="A17" s="1" t="s">
        <v>44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x14ac:dyDescent="0.25">
      <c r="A18" t="s">
        <v>148</v>
      </c>
      <c r="B18" s="4">
        <f>Expenses!B13</f>
        <v>5300</v>
      </c>
      <c r="C18" s="4">
        <f>Expenses!C13</f>
        <v>5300</v>
      </c>
      <c r="D18" s="4">
        <f>Expenses!D13</f>
        <v>5300</v>
      </c>
      <c r="E18" s="4">
        <f>Expenses!E13</f>
        <v>5300</v>
      </c>
      <c r="F18" s="4">
        <f>Expenses!F13</f>
        <v>5300</v>
      </c>
      <c r="G18" s="4">
        <f>Expenses!G13</f>
        <v>5300</v>
      </c>
      <c r="H18" s="4">
        <f>Expenses!H13</f>
        <v>5300</v>
      </c>
      <c r="I18" s="4">
        <f>Expenses!I13</f>
        <v>5300</v>
      </c>
      <c r="J18" s="4">
        <f>Expenses!J13</f>
        <v>5300</v>
      </c>
      <c r="K18" s="4">
        <f>Expenses!K13</f>
        <v>5300</v>
      </c>
      <c r="L18" s="4">
        <f>Expenses!L13</f>
        <v>5300</v>
      </c>
      <c r="M18" s="4">
        <f>Expenses!M13</f>
        <v>5300</v>
      </c>
      <c r="N18" s="4">
        <f t="shared" ref="N18:N26" si="4">SUM(B18:M18)</f>
        <v>63600</v>
      </c>
    </row>
    <row r="19" spans="1:14" x14ac:dyDescent="0.25">
      <c r="A19" t="s">
        <v>149</v>
      </c>
      <c r="B19" s="4">
        <f>Expenses!B7</f>
        <v>1200</v>
      </c>
      <c r="C19" s="4">
        <f>Expenses!C7</f>
        <v>1200</v>
      </c>
      <c r="D19" s="4">
        <f>Expenses!D7</f>
        <v>1200</v>
      </c>
      <c r="E19" s="4">
        <f>Expenses!E7</f>
        <v>1200</v>
      </c>
      <c r="F19" s="4">
        <f>Expenses!F7</f>
        <v>1200</v>
      </c>
      <c r="G19" s="4">
        <f>Expenses!G7</f>
        <v>1200</v>
      </c>
      <c r="H19" s="4">
        <f>Expenses!H7</f>
        <v>1200</v>
      </c>
      <c r="I19" s="4">
        <f>Expenses!I7</f>
        <v>1200</v>
      </c>
      <c r="J19" s="4">
        <f>Expenses!J7</f>
        <v>1200</v>
      </c>
      <c r="K19" s="4">
        <f>Expenses!K7</f>
        <v>1200</v>
      </c>
      <c r="L19" s="4">
        <f>Expenses!L7</f>
        <v>1200</v>
      </c>
      <c r="M19" s="4">
        <f>Expenses!M7</f>
        <v>1200</v>
      </c>
      <c r="N19" s="4">
        <f t="shared" si="4"/>
        <v>14400</v>
      </c>
    </row>
    <row r="20" spans="1:14" x14ac:dyDescent="0.25">
      <c r="A20" t="s">
        <v>132</v>
      </c>
      <c r="B20" s="4">
        <f>Expenses!B18</f>
        <v>33000</v>
      </c>
      <c r="C20" s="4">
        <f>Expenses!C18</f>
        <v>33000</v>
      </c>
      <c r="D20" s="4">
        <f>Expenses!D18</f>
        <v>33000</v>
      </c>
      <c r="E20" s="4">
        <f>Expenses!E18</f>
        <v>45320</v>
      </c>
      <c r="F20" s="4">
        <f>Expenses!F18</f>
        <v>45320</v>
      </c>
      <c r="G20" s="4">
        <f>Expenses!G18</f>
        <v>45320</v>
      </c>
      <c r="H20" s="4">
        <f>Expenses!H18</f>
        <v>58349.5</v>
      </c>
      <c r="I20" s="4">
        <f>Expenses!I18</f>
        <v>58349.5</v>
      </c>
      <c r="J20" s="4">
        <f>Expenses!J18</f>
        <v>58349.5</v>
      </c>
      <c r="K20" s="4">
        <f>Expenses!K18</f>
        <v>72119.981999999989</v>
      </c>
      <c r="L20" s="4">
        <f>Expenses!L18</f>
        <v>72119.981999999989</v>
      </c>
      <c r="M20" s="4">
        <f>Expenses!M18</f>
        <v>72119.981999999989</v>
      </c>
      <c r="N20" s="4">
        <f t="shared" si="4"/>
        <v>626368.44599999988</v>
      </c>
    </row>
    <row r="21" spans="1:14" x14ac:dyDescent="0.25">
      <c r="A21" t="s">
        <v>136</v>
      </c>
      <c r="B21" s="4">
        <f>Expenses!B23</f>
        <v>17979.5</v>
      </c>
      <c r="C21" s="4">
        <f>Expenses!C23</f>
        <v>21385.1</v>
      </c>
      <c r="D21" s="4">
        <f>Expenses!D23</f>
        <v>24273.122499999998</v>
      </c>
      <c r="E21" s="4">
        <f>Expenses!E23</f>
        <v>26861.394999999997</v>
      </c>
      <c r="F21" s="4">
        <f>Expenses!F23</f>
        <v>29279.525000000001</v>
      </c>
      <c r="G21" s="4">
        <f>Expenses!G23</f>
        <v>31601.899999999998</v>
      </c>
      <c r="H21" s="4">
        <f>Expenses!H23</f>
        <v>33891.990000000005</v>
      </c>
      <c r="I21" s="4">
        <f>Expenses!I23</f>
        <v>36191.539999999994</v>
      </c>
      <c r="J21" s="4">
        <f>Expenses!J23</f>
        <v>38550.544999999998</v>
      </c>
      <c r="K21" s="4">
        <f>Expenses!K23</f>
        <v>40994.25</v>
      </c>
      <c r="L21" s="4">
        <f>Expenses!L23</f>
        <v>43569.130000000005</v>
      </c>
      <c r="M21" s="4">
        <f>Expenses!M23</f>
        <v>46236.959999999999</v>
      </c>
      <c r="N21" s="4">
        <f t="shared" si="4"/>
        <v>390814.95749999996</v>
      </c>
    </row>
    <row r="22" spans="1:14" x14ac:dyDescent="0.25">
      <c r="A22" t="s">
        <v>67</v>
      </c>
      <c r="B22" s="4">
        <f>Expenses!B26</f>
        <v>1500</v>
      </c>
      <c r="C22" s="4">
        <f>Expenses!C26</f>
        <v>1500</v>
      </c>
      <c r="D22" s="4">
        <f>Expenses!D26</f>
        <v>1500</v>
      </c>
      <c r="E22" s="4">
        <f>Expenses!E26</f>
        <v>1500</v>
      </c>
      <c r="F22" s="4">
        <f>Expenses!F26</f>
        <v>1500</v>
      </c>
      <c r="G22" s="4">
        <f>Expenses!G26</f>
        <v>1500</v>
      </c>
      <c r="H22" s="4">
        <f>Expenses!H26</f>
        <v>1500</v>
      </c>
      <c r="I22" s="4">
        <f>Expenses!I26</f>
        <v>1500</v>
      </c>
      <c r="J22" s="4">
        <f>Expenses!J26</f>
        <v>1500</v>
      </c>
      <c r="K22" s="4">
        <f>Expenses!K26</f>
        <v>1500</v>
      </c>
      <c r="L22" s="4">
        <f>Expenses!L26</f>
        <v>1500</v>
      </c>
      <c r="M22" s="4">
        <f>Expenses!M26</f>
        <v>1500</v>
      </c>
      <c r="N22" s="4">
        <f t="shared" si="4"/>
        <v>18000</v>
      </c>
    </row>
    <row r="23" spans="1:14" x14ac:dyDescent="0.25">
      <c r="A23" t="s">
        <v>138</v>
      </c>
      <c r="B23" s="4">
        <f>Expenses!B27</f>
        <v>1000</v>
      </c>
      <c r="C23" s="4">
        <f>Expenses!C27</f>
        <v>1000</v>
      </c>
      <c r="D23" s="4">
        <f>Expenses!D27</f>
        <v>1000</v>
      </c>
      <c r="E23" s="4">
        <f>Expenses!E27</f>
        <v>1000</v>
      </c>
      <c r="F23" s="4">
        <f>Expenses!F27</f>
        <v>1000</v>
      </c>
      <c r="G23" s="4">
        <f>Expenses!G27</f>
        <v>1000</v>
      </c>
      <c r="H23" s="4">
        <f>Expenses!H27</f>
        <v>1000</v>
      </c>
      <c r="I23" s="4">
        <f>Expenses!I27</f>
        <v>1000</v>
      </c>
      <c r="J23" s="4">
        <f>Expenses!J27</f>
        <v>1000</v>
      </c>
      <c r="K23" s="4">
        <f>Expenses!K27</f>
        <v>1000</v>
      </c>
      <c r="L23" s="4">
        <f>Expenses!L27</f>
        <v>1000</v>
      </c>
      <c r="M23" s="4">
        <f>Expenses!M27</f>
        <v>1000</v>
      </c>
      <c r="N23" s="4">
        <f t="shared" si="4"/>
        <v>12000</v>
      </c>
    </row>
    <row r="24" spans="1:14" x14ac:dyDescent="0.25">
      <c r="A24" t="s">
        <v>139</v>
      </c>
      <c r="B24" s="4">
        <f>Expenses!B28</f>
        <v>500</v>
      </c>
      <c r="C24" s="4">
        <f>Expenses!C28</f>
        <v>500</v>
      </c>
      <c r="D24" s="4">
        <f>Expenses!D28</f>
        <v>500</v>
      </c>
      <c r="E24" s="4">
        <f>Expenses!E28</f>
        <v>500</v>
      </c>
      <c r="F24" s="4">
        <f>Expenses!F28</f>
        <v>500</v>
      </c>
      <c r="G24" s="4">
        <f>Expenses!G28</f>
        <v>500</v>
      </c>
      <c r="H24" s="4">
        <f>Expenses!H28</f>
        <v>500</v>
      </c>
      <c r="I24" s="4">
        <f>Expenses!I28</f>
        <v>500</v>
      </c>
      <c r="J24" s="4">
        <f>Expenses!J28</f>
        <v>500</v>
      </c>
      <c r="K24" s="4">
        <f>Expenses!K28</f>
        <v>500</v>
      </c>
      <c r="L24" s="4">
        <f>Expenses!L28</f>
        <v>500</v>
      </c>
      <c r="M24" s="4">
        <f>Expenses!M28</f>
        <v>500</v>
      </c>
      <c r="N24" s="4">
        <f t="shared" si="4"/>
        <v>6000</v>
      </c>
    </row>
    <row r="25" spans="1:14" x14ac:dyDescent="0.25">
      <c r="A25" t="s">
        <v>150</v>
      </c>
      <c r="B25" s="4">
        <f>Expenses!B29</f>
        <v>800</v>
      </c>
      <c r="C25" s="4">
        <f>Expenses!C29</f>
        <v>800</v>
      </c>
      <c r="D25" s="4">
        <f>Expenses!D29</f>
        <v>800</v>
      </c>
      <c r="E25" s="4">
        <f>Expenses!E29</f>
        <v>800</v>
      </c>
      <c r="F25" s="4">
        <f>Expenses!F29</f>
        <v>800</v>
      </c>
      <c r="G25" s="4">
        <f>Expenses!G29</f>
        <v>800</v>
      </c>
      <c r="H25" s="4">
        <f>Expenses!H29</f>
        <v>800</v>
      </c>
      <c r="I25" s="4">
        <f>Expenses!I29</f>
        <v>800</v>
      </c>
      <c r="J25" s="4">
        <f>Expenses!J29</f>
        <v>800</v>
      </c>
      <c r="K25" s="4">
        <f>Expenses!K29</f>
        <v>800</v>
      </c>
      <c r="L25" s="4">
        <f>Expenses!L29</f>
        <v>800</v>
      </c>
      <c r="M25" s="4">
        <f>Expenses!M29</f>
        <v>800</v>
      </c>
      <c r="N25" s="4">
        <f t="shared" si="4"/>
        <v>9600</v>
      </c>
    </row>
    <row r="26" spans="1:14" x14ac:dyDescent="0.25">
      <c r="A26" s="8" t="s">
        <v>151</v>
      </c>
      <c r="B26" s="13">
        <f>SUM(B18:B25)</f>
        <v>61279.5</v>
      </c>
      <c r="C26" s="13">
        <f t="shared" ref="C26:M26" si="5">SUM(C18:C25)</f>
        <v>64685.1</v>
      </c>
      <c r="D26" s="13">
        <f t="shared" si="5"/>
        <v>67573.122499999998</v>
      </c>
      <c r="E26" s="13">
        <f t="shared" si="5"/>
        <v>82481.39499999999</v>
      </c>
      <c r="F26" s="13">
        <f t="shared" si="5"/>
        <v>84899.524999999994</v>
      </c>
      <c r="G26" s="13">
        <f t="shared" si="5"/>
        <v>87221.9</v>
      </c>
      <c r="H26" s="13">
        <f t="shared" si="5"/>
        <v>102541.49</v>
      </c>
      <c r="I26" s="13">
        <f t="shared" si="5"/>
        <v>104841.04</v>
      </c>
      <c r="J26" s="13">
        <f t="shared" si="5"/>
        <v>107200.045</v>
      </c>
      <c r="K26" s="13">
        <f t="shared" si="5"/>
        <v>123414.23199999999</v>
      </c>
      <c r="L26" s="13">
        <f t="shared" si="5"/>
        <v>125989.11199999999</v>
      </c>
      <c r="M26" s="13">
        <f t="shared" si="5"/>
        <v>128656.94199999998</v>
      </c>
      <c r="N26" s="13">
        <f t="shared" si="4"/>
        <v>1140783.4035</v>
      </c>
    </row>
    <row r="28" spans="1:14" x14ac:dyDescent="0.25">
      <c r="A28" s="19" t="s">
        <v>152</v>
      </c>
      <c r="B28" s="30">
        <f>B14-B26+B24</f>
        <v>-35141.500000000007</v>
      </c>
      <c r="C28" s="30">
        <f t="shared" ref="C28:M28" si="6">C14-C26+C24</f>
        <v>-27457.1</v>
      </c>
      <c r="D28" s="30">
        <f t="shared" si="6"/>
        <v>-21492.972500000003</v>
      </c>
      <c r="E28" s="30">
        <f t="shared" si="6"/>
        <v>-28993.095000000001</v>
      </c>
      <c r="F28" s="30">
        <f t="shared" si="6"/>
        <v>-24959.524999999994</v>
      </c>
      <c r="G28" s="30">
        <f t="shared" si="6"/>
        <v>-21319.399999999994</v>
      </c>
      <c r="H28" s="30">
        <f t="shared" si="6"/>
        <v>-31024.39</v>
      </c>
      <c r="I28" s="30">
        <f t="shared" si="6"/>
        <v>-27939.940000000017</v>
      </c>
      <c r="J28" s="30">
        <f t="shared" si="6"/>
        <v>-24885.24500000001</v>
      </c>
      <c r="K28" s="30">
        <f t="shared" si="6"/>
        <v>-35582.731999999989</v>
      </c>
      <c r="L28" s="30">
        <f t="shared" si="6"/>
        <v>-32436.911999999982</v>
      </c>
      <c r="M28" s="30">
        <f t="shared" si="6"/>
        <v>-29270.041999999987</v>
      </c>
      <c r="N28" s="30">
        <f>SUM(B28:M28)</f>
        <v>-340502.85349999997</v>
      </c>
    </row>
    <row r="29" spans="1:14" x14ac:dyDescent="0.25">
      <c r="A29" t="s">
        <v>153</v>
      </c>
      <c r="B29" s="2">
        <f>IF(B6=0,0,B28/B6)</f>
        <v>-0.75524392864818424</v>
      </c>
      <c r="C29" s="2">
        <f t="shared" ref="C29:M29" si="7">IF(C6=0,0,C28/C6)</f>
        <v>-0.42349847302341359</v>
      </c>
      <c r="D29" s="2">
        <f t="shared" si="7"/>
        <v>-0.27033774337566036</v>
      </c>
      <c r="E29" s="2">
        <f t="shared" si="7"/>
        <v>-0.31579692906927737</v>
      </c>
      <c r="F29" s="2">
        <f t="shared" si="7"/>
        <v>-0.24323821914270533</v>
      </c>
      <c r="G29" s="2">
        <f t="shared" si="7"/>
        <v>-0.18934420405698243</v>
      </c>
      <c r="H29" s="2">
        <f t="shared" si="7"/>
        <v>-0.254305365887246</v>
      </c>
      <c r="I29" s="2">
        <f t="shared" si="7"/>
        <v>-0.2131297027467399</v>
      </c>
      <c r="J29" s="2">
        <f t="shared" si="7"/>
        <v>-0.17747248436923907</v>
      </c>
      <c r="K29" s="2">
        <f t="shared" si="7"/>
        <v>-0.23793996455916272</v>
      </c>
      <c r="L29" s="2">
        <f t="shared" si="7"/>
        <v>-0.20375687053925318</v>
      </c>
      <c r="M29" s="2">
        <f t="shared" si="7"/>
        <v>-0.17309677793258749</v>
      </c>
      <c r="N29" s="2">
        <f>IF(N6=0,0,N28/N6)</f>
        <v>-0.24871777456358707</v>
      </c>
    </row>
    <row r="31" spans="1:14" x14ac:dyDescent="0.25">
      <c r="A31" s="18" t="s">
        <v>154</v>
      </c>
      <c r="B31" s="29">
        <f>B14-B26</f>
        <v>-35641.500000000007</v>
      </c>
      <c r="C31" s="29">
        <f t="shared" ref="C31:M31" si="8">C14-C26</f>
        <v>-27957.1</v>
      </c>
      <c r="D31" s="29">
        <f t="shared" si="8"/>
        <v>-21992.972500000003</v>
      </c>
      <c r="E31" s="29">
        <f t="shared" si="8"/>
        <v>-29493.095000000001</v>
      </c>
      <c r="F31" s="29">
        <f t="shared" si="8"/>
        <v>-25459.524999999994</v>
      </c>
      <c r="G31" s="29">
        <f t="shared" si="8"/>
        <v>-21819.399999999994</v>
      </c>
      <c r="H31" s="29">
        <f t="shared" si="8"/>
        <v>-31524.39</v>
      </c>
      <c r="I31" s="29">
        <f t="shared" si="8"/>
        <v>-28439.940000000017</v>
      </c>
      <c r="J31" s="29">
        <f t="shared" si="8"/>
        <v>-25385.24500000001</v>
      </c>
      <c r="K31" s="29">
        <f t="shared" si="8"/>
        <v>-36082.731999999989</v>
      </c>
      <c r="L31" s="29">
        <f t="shared" si="8"/>
        <v>-32936.911999999982</v>
      </c>
      <c r="M31" s="29">
        <f t="shared" si="8"/>
        <v>-29770.041999999987</v>
      </c>
      <c r="N31" s="29">
        <f>SUM(B31:M31)</f>
        <v>-346502.85349999997</v>
      </c>
    </row>
    <row r="32" spans="1:14" x14ac:dyDescent="0.25">
      <c r="A32" t="s">
        <v>155</v>
      </c>
      <c r="B32" s="2">
        <f>IF(B6=0,0,B31/B6)</f>
        <v>-0.76598968407479073</v>
      </c>
      <c r="C32" s="2">
        <f t="shared" ref="C32:M32" si="9">IF(C6=0,0,C31/C6)</f>
        <v>-0.43121047598482276</v>
      </c>
      <c r="D32" s="2">
        <f t="shared" si="9"/>
        <v>-0.27662672325910037</v>
      </c>
      <c r="E32" s="2">
        <f t="shared" si="9"/>
        <v>-0.32124300043677495</v>
      </c>
      <c r="F32" s="2">
        <f t="shared" si="9"/>
        <v>-0.24811087235110385</v>
      </c>
      <c r="G32" s="2">
        <f t="shared" si="9"/>
        <v>-0.19378485914242063</v>
      </c>
      <c r="H32" s="2">
        <f t="shared" si="9"/>
        <v>-0.25840384076277534</v>
      </c>
      <c r="I32" s="2">
        <f t="shared" si="9"/>
        <v>-0.21694377147320709</v>
      </c>
      <c r="J32" s="2">
        <f t="shared" si="9"/>
        <v>-0.18103830187212558</v>
      </c>
      <c r="K32" s="2">
        <f t="shared" si="9"/>
        <v>-0.24128343976729405</v>
      </c>
      <c r="L32" s="2">
        <f t="shared" si="9"/>
        <v>-0.20689768848362552</v>
      </c>
      <c r="M32" s="2">
        <f t="shared" si="9"/>
        <v>-0.17605367116035581</v>
      </c>
      <c r="N32" s="2">
        <f>IF(N6=0,0,N31/N6)</f>
        <v>-0.25310042989831399</v>
      </c>
    </row>
    <row r="34" spans="1:14" x14ac:dyDescent="0.25">
      <c r="A34" s="1" t="s">
        <v>156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x14ac:dyDescent="0.25">
      <c r="A35" t="s">
        <v>157</v>
      </c>
      <c r="B35" s="28">
        <f>IF(B31&gt;0, -B31*Assumptions!$B$48, 0)</f>
        <v>0</v>
      </c>
      <c r="C35" s="28">
        <f>IF(C31&gt;0, -C31*Assumptions!$B$48, 0)</f>
        <v>0</v>
      </c>
      <c r="D35" s="28">
        <f>IF(D31&gt;0, -D31*Assumptions!$B$48, 0)</f>
        <v>0</v>
      </c>
      <c r="E35" s="28">
        <f>IF(E31&gt;0, -E31*Assumptions!$B$48, 0)</f>
        <v>0</v>
      </c>
      <c r="F35" s="28">
        <f>IF(F31&gt;0, -F31*Assumptions!$B$48, 0)</f>
        <v>0</v>
      </c>
      <c r="G35" s="28">
        <f>IF(G31&gt;0, -G31*Assumptions!$B$48, 0)</f>
        <v>0</v>
      </c>
      <c r="H35" s="28">
        <f>IF(H31&gt;0, -H31*Assumptions!$B$48, 0)</f>
        <v>0</v>
      </c>
      <c r="I35" s="28">
        <f>IF(I31&gt;0, -I31*Assumptions!$B$48, 0)</f>
        <v>0</v>
      </c>
      <c r="J35" s="28">
        <f>IF(J31&gt;0, -J31*Assumptions!$B$48, 0)</f>
        <v>0</v>
      </c>
      <c r="K35" s="28">
        <f>IF(K31&gt;0, -K31*Assumptions!$B$48, 0)</f>
        <v>0</v>
      </c>
      <c r="L35" s="28">
        <f>IF(L31&gt;0, -L31*Assumptions!$B$48, 0)</f>
        <v>0</v>
      </c>
      <c r="M35" s="28">
        <f>IF(M31&gt;0, -M31*Assumptions!$B$48, 0)</f>
        <v>0</v>
      </c>
      <c r="N35" s="28">
        <f>SUM(B35:M35)</f>
        <v>0</v>
      </c>
    </row>
    <row r="36" spans="1:14" ht="15.75" thickBot="1" x14ac:dyDescent="0.3"/>
    <row r="37" spans="1:14" ht="17.25" thickTop="1" thickBot="1" x14ac:dyDescent="0.3">
      <c r="A37" s="20" t="s">
        <v>158</v>
      </c>
      <c r="B37" s="27">
        <f>B31+B35</f>
        <v>-35641.500000000007</v>
      </c>
      <c r="C37" s="27">
        <f t="shared" ref="C37:M37" si="10">C31+C35</f>
        <v>-27957.1</v>
      </c>
      <c r="D37" s="27">
        <f t="shared" si="10"/>
        <v>-21992.972500000003</v>
      </c>
      <c r="E37" s="27">
        <f t="shared" si="10"/>
        <v>-29493.095000000001</v>
      </c>
      <c r="F37" s="27">
        <f t="shared" si="10"/>
        <v>-25459.524999999994</v>
      </c>
      <c r="G37" s="27">
        <f t="shared" si="10"/>
        <v>-21819.399999999994</v>
      </c>
      <c r="H37" s="27">
        <f t="shared" si="10"/>
        <v>-31524.39</v>
      </c>
      <c r="I37" s="27">
        <f t="shared" si="10"/>
        <v>-28439.940000000017</v>
      </c>
      <c r="J37" s="27">
        <f t="shared" si="10"/>
        <v>-25385.24500000001</v>
      </c>
      <c r="K37" s="27">
        <f t="shared" si="10"/>
        <v>-36082.731999999989</v>
      </c>
      <c r="L37" s="27">
        <f t="shared" si="10"/>
        <v>-32936.911999999982</v>
      </c>
      <c r="M37" s="27">
        <f t="shared" si="10"/>
        <v>-29770.041999999987</v>
      </c>
      <c r="N37" s="27">
        <f>SUM(B37:M37)</f>
        <v>-346502.85349999997</v>
      </c>
    </row>
    <row r="38" spans="1:14" ht="15.75" thickTop="1" x14ac:dyDescent="0.25">
      <c r="A38" t="s">
        <v>159</v>
      </c>
      <c r="B38" s="2">
        <f>IF(B6=0,0,B37/B6)</f>
        <v>-0.76598968407479073</v>
      </c>
      <c r="C38" s="2">
        <f t="shared" ref="C38:M38" si="11">IF(C6=0,0,C37/C6)</f>
        <v>-0.43121047598482276</v>
      </c>
      <c r="D38" s="2">
        <f t="shared" si="11"/>
        <v>-0.27662672325910037</v>
      </c>
      <c r="E38" s="2">
        <f t="shared" si="11"/>
        <v>-0.32124300043677495</v>
      </c>
      <c r="F38" s="2">
        <f t="shared" si="11"/>
        <v>-0.24811087235110385</v>
      </c>
      <c r="G38" s="2">
        <f t="shared" si="11"/>
        <v>-0.19378485914242063</v>
      </c>
      <c r="H38" s="2">
        <f t="shared" si="11"/>
        <v>-0.25840384076277534</v>
      </c>
      <c r="I38" s="2">
        <f t="shared" si="11"/>
        <v>-0.21694377147320709</v>
      </c>
      <c r="J38" s="2">
        <f t="shared" si="11"/>
        <v>-0.18103830187212558</v>
      </c>
      <c r="K38" s="2">
        <f t="shared" si="11"/>
        <v>-0.24128343976729405</v>
      </c>
      <c r="L38" s="2">
        <f t="shared" si="11"/>
        <v>-0.20689768848362552</v>
      </c>
      <c r="M38" s="2">
        <f t="shared" si="11"/>
        <v>-0.17605367116035581</v>
      </c>
      <c r="N38" s="2">
        <f>IF(N6=0,0,N37/N6)</f>
        <v>-0.25310042989831399</v>
      </c>
    </row>
    <row r="39" spans="1:14" x14ac:dyDescent="0.25">
      <c r="A39" t="s">
        <v>160</v>
      </c>
      <c r="B39" s="28">
        <f>B37</f>
        <v>-35641.500000000007</v>
      </c>
      <c r="C39" s="28">
        <f>B39+C37</f>
        <v>-63598.600000000006</v>
      </c>
      <c r="D39" s="28">
        <f t="shared" ref="D39:M39" si="12">C39+D37</f>
        <v>-85591.572500000009</v>
      </c>
      <c r="E39" s="28">
        <f t="shared" si="12"/>
        <v>-115084.66750000001</v>
      </c>
      <c r="F39" s="28">
        <f t="shared" si="12"/>
        <v>-140544.1925</v>
      </c>
      <c r="G39" s="28">
        <f t="shared" si="12"/>
        <v>-162363.5925</v>
      </c>
      <c r="H39" s="28">
        <f t="shared" si="12"/>
        <v>-193887.98249999998</v>
      </c>
      <c r="I39" s="28">
        <f t="shared" si="12"/>
        <v>-222327.92249999999</v>
      </c>
      <c r="J39" s="28">
        <f t="shared" si="12"/>
        <v>-247713.16749999998</v>
      </c>
      <c r="K39" s="28">
        <f t="shared" si="12"/>
        <v>-283795.89949999994</v>
      </c>
      <c r="L39" s="28">
        <f t="shared" si="12"/>
        <v>-316732.81149999995</v>
      </c>
      <c r="M39" s="28">
        <f t="shared" si="12"/>
        <v>-346502.85349999997</v>
      </c>
      <c r="N39" s="28">
        <f>M39</f>
        <v>-346502.85349999997</v>
      </c>
    </row>
    <row r="41" spans="1:14" ht="15.75" x14ac:dyDescent="0.25">
      <c r="A41" s="38" t="s">
        <v>161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spans="1:14" x14ac:dyDescent="0.25">
      <c r="A42" s="9" t="s">
        <v>162</v>
      </c>
      <c r="B42" s="10">
        <v>46048</v>
      </c>
      <c r="C42" s="10">
        <v>46079</v>
      </c>
      <c r="D42" s="10">
        <v>46107</v>
      </c>
      <c r="E42" s="10">
        <v>46138</v>
      </c>
      <c r="F42" s="10">
        <v>46168</v>
      </c>
      <c r="G42" s="10">
        <v>46199</v>
      </c>
      <c r="H42" s="10">
        <v>46229</v>
      </c>
      <c r="I42" s="10">
        <v>46260</v>
      </c>
      <c r="J42" s="10">
        <v>46291</v>
      </c>
      <c r="K42" s="10">
        <v>46321</v>
      </c>
      <c r="L42" s="10">
        <v>46352</v>
      </c>
      <c r="M42" s="10">
        <v>46382</v>
      </c>
      <c r="N42" s="9" t="s">
        <v>143</v>
      </c>
    </row>
    <row r="43" spans="1:14" x14ac:dyDescent="0.25">
      <c r="A43" s="23" t="s">
        <v>108</v>
      </c>
      <c r="B43" s="23" t="s">
        <v>109</v>
      </c>
      <c r="C43" s="24">
        <f>Revenue!C22</f>
        <v>0.39338061465721064</v>
      </c>
      <c r="D43" s="24">
        <f>Revenue!D22</f>
        <v>0.22627248048863241</v>
      </c>
      <c r="E43" s="24">
        <f>Revenue!E22</f>
        <v>0.15477368162542451</v>
      </c>
      <c r="F43" s="24">
        <f>Revenue!F22</f>
        <v>0.11768088853743588</v>
      </c>
      <c r="G43" s="24">
        <f>Revenue!G22</f>
        <v>9.7282521305676148E-2</v>
      </c>
      <c r="H43" s="24">
        <f>Revenue!H22</f>
        <v>8.3489644392340814E-2</v>
      </c>
      <c r="I43" s="24">
        <f>Revenue!I22</f>
        <v>7.4567651885380171E-2</v>
      </c>
      <c r="J43" s="24">
        <f>Revenue!J22</f>
        <v>6.9619722091696409E-2</v>
      </c>
      <c r="K43" s="24">
        <f>Revenue!K22</f>
        <v>6.6500356938332131E-2</v>
      </c>
      <c r="L43" s="24">
        <f>Revenue!L22</f>
        <v>6.4523721956601776E-2</v>
      </c>
      <c r="M43" s="24">
        <f>Revenue!M22</f>
        <v>6.2202014897527559E-2</v>
      </c>
      <c r="N43" s="24">
        <f>AVERAGE(C43:M43)</f>
        <v>0.12820848170693255</v>
      </c>
    </row>
    <row r="44" spans="1:14" x14ac:dyDescent="0.25">
      <c r="A44" t="s">
        <v>163</v>
      </c>
      <c r="B44" s="2">
        <f>Revenue!B7</f>
        <v>0</v>
      </c>
      <c r="C44" s="2">
        <f>Revenue!C7</f>
        <v>0.22058823529411764</v>
      </c>
      <c r="D44" s="2">
        <f>Revenue!D7</f>
        <v>0.3196969696969697</v>
      </c>
      <c r="E44" s="2">
        <f>Revenue!E7</f>
        <v>0.37203166226912932</v>
      </c>
      <c r="F44" s="2">
        <f>Revenue!F7</f>
        <v>0.40236686390532544</v>
      </c>
      <c r="G44" s="2">
        <f>Revenue!G7</f>
        <v>0.42162162162162165</v>
      </c>
      <c r="H44" s="2">
        <f>Revenue!H7</f>
        <v>0.43356643356643354</v>
      </c>
      <c r="I44" s="2">
        <f>Revenue!I7</f>
        <v>0.44093023255813951</v>
      </c>
      <c r="J44" s="2">
        <f>Revenue!J7</f>
        <v>0.44560487380330721</v>
      </c>
      <c r="K44" s="2">
        <f>Revenue!K7</f>
        <v>0.44897959183673469</v>
      </c>
      <c r="L44" s="2">
        <f>Revenue!L7</f>
        <v>0.45092024539877301</v>
      </c>
      <c r="M44" s="2">
        <f>Revenue!M7</f>
        <v>0.45198555956678699</v>
      </c>
      <c r="N44" s="2">
        <f>AVERAGE(B44:M44)</f>
        <v>0.36735769079311154</v>
      </c>
    </row>
    <row r="45" spans="1:14" x14ac:dyDescent="0.25">
      <c r="A45" s="23" t="s">
        <v>164</v>
      </c>
      <c r="B45" s="24">
        <f>IF(Revenue!B6=0,0,Revenue!B5/Revenue!B6)</f>
        <v>0</v>
      </c>
      <c r="C45" s="24">
        <f>IF(Revenue!C6=0,0,Revenue!C5/Revenue!C6)</f>
        <v>0.22058823529411764</v>
      </c>
      <c r="D45" s="24">
        <f>IF(Revenue!D6=0,0,Revenue!D5/Revenue!D6)</f>
        <v>0.3196969696969697</v>
      </c>
      <c r="E45" s="24">
        <f>IF(Revenue!E6=0,0,Revenue!E5/Revenue!E6)</f>
        <v>0.37203166226912932</v>
      </c>
      <c r="F45" s="24">
        <f>IF(Revenue!F6=0,0,Revenue!F5/Revenue!F6)</f>
        <v>0.40236686390532544</v>
      </c>
      <c r="G45" s="24">
        <f>IF(Revenue!G6=0,0,Revenue!G5/Revenue!G6)</f>
        <v>0.42162162162162165</v>
      </c>
      <c r="H45" s="24">
        <f>IF(Revenue!H6=0,0,Revenue!H5/Revenue!H6)</f>
        <v>0.43356643356643354</v>
      </c>
      <c r="I45" s="24">
        <f>IF(Revenue!I6=0,0,Revenue!I5/Revenue!I6)</f>
        <v>0.44093023255813951</v>
      </c>
      <c r="J45" s="24">
        <f>IF(Revenue!J6=0,0,Revenue!J5/Revenue!J6)</f>
        <v>0.44560487380330721</v>
      </c>
      <c r="K45" s="24">
        <f>IF(Revenue!K6=0,0,Revenue!K5/Revenue!K6)</f>
        <v>0.44897959183673469</v>
      </c>
      <c r="L45" s="24">
        <f>IF(Revenue!L6=0,0,Revenue!L5/Revenue!L6)</f>
        <v>0.45092024539877301</v>
      </c>
      <c r="M45" s="24">
        <f>IF(Revenue!M6=0,0,Revenue!M5/Revenue!M6)</f>
        <v>0.45198555956678699</v>
      </c>
      <c r="N45" s="24">
        <f>AVERAGE(B45:M45)</f>
        <v>0.36735769079311154</v>
      </c>
    </row>
    <row r="46" spans="1:14" x14ac:dyDescent="0.25">
      <c r="A46" t="s">
        <v>9</v>
      </c>
      <c r="B46" s="2">
        <f>B15</f>
        <v>0.55099935525467436</v>
      </c>
      <c r="C46" s="2">
        <f t="shared" ref="C46:M46" si="13">C15</f>
        <v>0.56649288953326959</v>
      </c>
      <c r="D46" s="2">
        <f t="shared" si="13"/>
        <v>0.57330529286835963</v>
      </c>
      <c r="E46" s="2">
        <f t="shared" si="13"/>
        <v>0.57715612688474904</v>
      </c>
      <c r="F46" s="2">
        <f t="shared" si="13"/>
        <v>0.57926101341441427</v>
      </c>
      <c r="G46" s="2">
        <f t="shared" si="13"/>
        <v>0.58085988845074421</v>
      </c>
      <c r="H46" s="2">
        <f t="shared" si="13"/>
        <v>0.58212360016590625</v>
      </c>
      <c r="I46" s="2">
        <f t="shared" si="13"/>
        <v>0.58279809235538571</v>
      </c>
      <c r="J46" s="2">
        <f t="shared" si="13"/>
        <v>0.58347329167032158</v>
      </c>
      <c r="K46" s="2">
        <f t="shared" si="13"/>
        <v>0.58398141027784278</v>
      </c>
      <c r="L46" s="2">
        <f t="shared" si="13"/>
        <v>0.58452003904664873</v>
      </c>
      <c r="M46" s="2">
        <f t="shared" si="13"/>
        <v>0.58479600985000268</v>
      </c>
      <c r="N46" s="2">
        <f>N15</f>
        <v>0.58017631495455868</v>
      </c>
    </row>
    <row r="47" spans="1:14" x14ac:dyDescent="0.25">
      <c r="A47" s="23" t="s">
        <v>153</v>
      </c>
      <c r="B47" s="24">
        <f>B29</f>
        <v>-0.75524392864818424</v>
      </c>
      <c r="C47" s="24">
        <f t="shared" ref="C47:M47" si="14">C29</f>
        <v>-0.42349847302341359</v>
      </c>
      <c r="D47" s="24">
        <f t="shared" si="14"/>
        <v>-0.27033774337566036</v>
      </c>
      <c r="E47" s="24">
        <f t="shared" si="14"/>
        <v>-0.31579692906927737</v>
      </c>
      <c r="F47" s="24">
        <f t="shared" si="14"/>
        <v>-0.24323821914270533</v>
      </c>
      <c r="G47" s="24">
        <f t="shared" si="14"/>
        <v>-0.18934420405698243</v>
      </c>
      <c r="H47" s="24">
        <f t="shared" si="14"/>
        <v>-0.254305365887246</v>
      </c>
      <c r="I47" s="24">
        <f t="shared" si="14"/>
        <v>-0.2131297027467399</v>
      </c>
      <c r="J47" s="24">
        <f t="shared" si="14"/>
        <v>-0.17747248436923907</v>
      </c>
      <c r="K47" s="24">
        <f t="shared" si="14"/>
        <v>-0.23793996455916272</v>
      </c>
      <c r="L47" s="24">
        <f t="shared" si="14"/>
        <v>-0.20375687053925318</v>
      </c>
      <c r="M47" s="24">
        <f t="shared" si="14"/>
        <v>-0.17309677793258749</v>
      </c>
      <c r="N47" s="24">
        <f>N29</f>
        <v>-0.24871777456358707</v>
      </c>
    </row>
    <row r="48" spans="1:14" x14ac:dyDescent="0.25">
      <c r="A48" t="s">
        <v>159</v>
      </c>
      <c r="B48" s="2">
        <f>B38</f>
        <v>-0.76598968407479073</v>
      </c>
      <c r="C48" s="2">
        <f t="shared" ref="C48:M48" si="15">C38</f>
        <v>-0.43121047598482276</v>
      </c>
      <c r="D48" s="2">
        <f t="shared" si="15"/>
        <v>-0.27662672325910037</v>
      </c>
      <c r="E48" s="2">
        <f t="shared" si="15"/>
        <v>-0.32124300043677495</v>
      </c>
      <c r="F48" s="2">
        <f t="shared" si="15"/>
        <v>-0.24811087235110385</v>
      </c>
      <c r="G48" s="2">
        <f t="shared" si="15"/>
        <v>-0.19378485914242063</v>
      </c>
      <c r="H48" s="2">
        <f t="shared" si="15"/>
        <v>-0.25840384076277534</v>
      </c>
      <c r="I48" s="2">
        <f t="shared" si="15"/>
        <v>-0.21694377147320709</v>
      </c>
      <c r="J48" s="2">
        <f t="shared" si="15"/>
        <v>-0.18103830187212558</v>
      </c>
      <c r="K48" s="2">
        <f t="shared" si="15"/>
        <v>-0.24128343976729405</v>
      </c>
      <c r="L48" s="2">
        <f t="shared" si="15"/>
        <v>-0.20689768848362552</v>
      </c>
      <c r="M48" s="2">
        <f t="shared" si="15"/>
        <v>-0.17605367116035581</v>
      </c>
      <c r="N48" s="2">
        <f>N38</f>
        <v>-0.25310042989831399</v>
      </c>
    </row>
    <row r="49" spans="1:14" x14ac:dyDescent="0.25">
      <c r="A49" s="23" t="s">
        <v>113</v>
      </c>
      <c r="B49" s="25">
        <f>Revenue!B28</f>
        <v>116.32499999999999</v>
      </c>
      <c r="C49" s="25">
        <f>Revenue!C28</f>
        <v>119.18014705882354</v>
      </c>
      <c r="D49" s="25">
        <f>Revenue!D28</f>
        <v>120.46083333333333</v>
      </c>
      <c r="E49" s="25">
        <f>Revenue!E28</f>
        <v>121.12044854881265</v>
      </c>
      <c r="F49" s="25">
        <f>Revenue!F28</f>
        <v>121.43609467455622</v>
      </c>
      <c r="G49" s="25">
        <f>Revenue!G28</f>
        <v>121.72540540540541</v>
      </c>
      <c r="H49" s="25">
        <f>Revenue!H28</f>
        <v>121.87472527472528</v>
      </c>
      <c r="I49" s="25">
        <f>Revenue!I28</f>
        <v>121.94753488372091</v>
      </c>
      <c r="J49" s="25">
        <f>Revenue!J28</f>
        <v>122.03681462140992</v>
      </c>
      <c r="K49" s="25">
        <f>Revenue!K28</f>
        <v>122.07755102040817</v>
      </c>
      <c r="L49" s="25">
        <f>Revenue!L28</f>
        <v>122.08144171779142</v>
      </c>
      <c r="M49" s="25">
        <f>Revenue!M28</f>
        <v>122.09126353790613</v>
      </c>
      <c r="N49" s="25">
        <f>AVERAGE(B49:M49)</f>
        <v>121.02977167307439</v>
      </c>
    </row>
    <row r="50" spans="1:14" x14ac:dyDescent="0.25">
      <c r="A50" t="s">
        <v>114</v>
      </c>
      <c r="B50" s="3">
        <f>Revenue!B29</f>
        <v>27.5</v>
      </c>
      <c r="C50" s="3">
        <f>Revenue!C29</f>
        <v>27.5</v>
      </c>
      <c r="D50" s="3">
        <f>Revenue!D29</f>
        <v>27.5</v>
      </c>
      <c r="E50" s="3">
        <f>Revenue!E29</f>
        <v>27.5</v>
      </c>
      <c r="F50" s="3">
        <f>Revenue!F29</f>
        <v>27.5</v>
      </c>
      <c r="G50" s="3">
        <f>Revenue!G29</f>
        <v>27.5</v>
      </c>
      <c r="H50" s="3">
        <f>Revenue!H29</f>
        <v>27.5</v>
      </c>
      <c r="I50" s="3">
        <f>Revenue!I29</f>
        <v>27.5</v>
      </c>
      <c r="J50" s="3">
        <f>Revenue!J29</f>
        <v>27.5</v>
      </c>
      <c r="K50" s="3">
        <f>Revenue!K29</f>
        <v>27.5</v>
      </c>
      <c r="L50" s="3">
        <f>Revenue!L29</f>
        <v>27.5</v>
      </c>
      <c r="M50" s="3">
        <f>Revenue!M29</f>
        <v>27.5</v>
      </c>
      <c r="N50" s="3">
        <f>AVERAGE(B50:M50)</f>
        <v>27.5</v>
      </c>
    </row>
    <row r="51" spans="1:14" x14ac:dyDescent="0.25">
      <c r="A51" s="23" t="s">
        <v>165</v>
      </c>
      <c r="B51" s="24">
        <f>IF(B6=0,0,Expenses!B23/B6)</f>
        <v>0.38640661938534288</v>
      </c>
      <c r="C51" s="24">
        <f>IF(C6=0,0,Expenses!C23/C6)</f>
        <v>0.32984390906006106</v>
      </c>
      <c r="D51" s="24">
        <f>IF(D6=0,0,Expenses!D23/D6)</f>
        <v>0.30530635822155194</v>
      </c>
      <c r="E51" s="24">
        <f>IF(E6=0,0,Expenses!E23/E6)</f>
        <v>0.29257814840108792</v>
      </c>
      <c r="F51" s="24">
        <f>IF(F6=0,0,Expenses!F23/F6)</f>
        <v>0.28533794286326847</v>
      </c>
      <c r="G51" s="24">
        <f>IF(G6=0,0,Expenses!G23/G6)</f>
        <v>0.2806662758890191</v>
      </c>
      <c r="H51" s="24">
        <f>IF(H6=0,0,Expenses!H23/H6)</f>
        <v>0.27781093899338183</v>
      </c>
      <c r="I51" s="24">
        <f>IF(I6=0,0,Expenses!I23/I6)</f>
        <v>0.27607404175337319</v>
      </c>
      <c r="J51" s="24">
        <f>IF(J6=0,0,Expenses!J23/J6)</f>
        <v>0.27492841621362957</v>
      </c>
      <c r="K51" s="24">
        <f>IF(K6=0,0,Expenses!K23/K6)</f>
        <v>0.27412651710187569</v>
      </c>
      <c r="L51" s="24">
        <f>IF(L6=0,0,Expenses!L23/L6)</f>
        <v>0.27368541064938295</v>
      </c>
      <c r="M51" s="24">
        <f>IF(M6=0,0,Expenses!M23/M6)</f>
        <v>0.27343550779318782</v>
      </c>
      <c r="N51" s="24">
        <f>IF(N6=0,0,Expenses!N23/N6)</f>
        <v>0.28546787639640986</v>
      </c>
    </row>
    <row r="52" spans="1:14" x14ac:dyDescent="0.25">
      <c r="A52" t="s">
        <v>130</v>
      </c>
      <c r="B52" s="12">
        <f>Expenses!B16</f>
        <v>6</v>
      </c>
      <c r="C52" s="12">
        <f>Expenses!C16</f>
        <v>6</v>
      </c>
      <c r="D52" s="12">
        <f>Expenses!D16</f>
        <v>6</v>
      </c>
      <c r="E52" s="12">
        <f>Expenses!E16</f>
        <v>8</v>
      </c>
      <c r="F52" s="12">
        <f>Expenses!F16</f>
        <v>8</v>
      </c>
      <c r="G52" s="12">
        <f>Expenses!G16</f>
        <v>8</v>
      </c>
      <c r="H52" s="12">
        <f>Expenses!H16</f>
        <v>10</v>
      </c>
      <c r="I52" s="12">
        <f>Expenses!I16</f>
        <v>10</v>
      </c>
      <c r="J52" s="12">
        <f>Expenses!J16</f>
        <v>10</v>
      </c>
      <c r="K52" s="12">
        <f>Expenses!K16</f>
        <v>12</v>
      </c>
      <c r="L52" s="12">
        <f>Expenses!L16</f>
        <v>12</v>
      </c>
      <c r="M52" s="12">
        <f>Expenses!M16</f>
        <v>12</v>
      </c>
      <c r="N52" s="12">
        <f>Expenses!N16</f>
        <v>12</v>
      </c>
    </row>
    <row r="53" spans="1:14" x14ac:dyDescent="0.25">
      <c r="A53" s="23" t="s">
        <v>166</v>
      </c>
      <c r="B53" s="26">
        <f>IF(B52=0,0,B6/B52)</f>
        <v>7754.9999999999991</v>
      </c>
      <c r="C53" s="26">
        <f t="shared" ref="C53:M53" si="16">IF(C52=0,0,C6/C52)</f>
        <v>10805.666666666666</v>
      </c>
      <c r="D53" s="26">
        <f t="shared" si="16"/>
        <v>13250.691666666666</v>
      </c>
      <c r="E53" s="26">
        <f t="shared" si="16"/>
        <v>11476.162499999999</v>
      </c>
      <c r="F53" s="26">
        <f t="shared" si="16"/>
        <v>12826.6875</v>
      </c>
      <c r="G53" s="26">
        <f t="shared" si="16"/>
        <v>14074.5</v>
      </c>
      <c r="H53" s="26">
        <f t="shared" si="16"/>
        <v>12199.66</v>
      </c>
      <c r="I53" s="26">
        <f t="shared" si="16"/>
        <v>13109.359999999997</v>
      </c>
      <c r="J53" s="26">
        <f t="shared" si="16"/>
        <v>14022.029999999999</v>
      </c>
      <c r="K53" s="26">
        <f t="shared" si="16"/>
        <v>12462.083333333334</v>
      </c>
      <c r="L53" s="26">
        <f t="shared" si="16"/>
        <v>13266.183333333334</v>
      </c>
      <c r="M53" s="26">
        <f t="shared" si="16"/>
        <v>14091.366666666667</v>
      </c>
      <c r="N53" s="26">
        <f>IF(N52=0,0,N6/N52)</f>
        <v>114086.08749999998</v>
      </c>
    </row>
  </sheetData>
  <mergeCells count="2">
    <mergeCell ref="A1:N1"/>
    <mergeCell ref="A41:N41"/>
  </mergeCells>
  <conditionalFormatting sqref="B15:N15">
    <cfRule type="expression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EBB80A9DA954CA68EDBF69D994D6F" ma:contentTypeVersion="7" ma:contentTypeDescription="Create a new document." ma:contentTypeScope="" ma:versionID="c476ba719a66ce13132a6401d6945285">
  <xsd:schema xmlns:xsd="http://www.w3.org/2001/XMLSchema" xmlns:xs="http://www.w3.org/2001/XMLSchema" xmlns:p="http://schemas.microsoft.com/office/2006/metadata/properties" xmlns:ns1="http://schemas.microsoft.com/sharepoint/v3" xmlns:ns2="967ff642-b8ab-482c-84db-d2bed95e1bd3" targetNamespace="http://schemas.microsoft.com/office/2006/metadata/properties" ma:root="true" ma:fieldsID="03c4c38457b66162ae42dd82609f1bfe" ns1:_="" ns2:_="">
    <xsd:import namespace="http://schemas.microsoft.com/sharepoint/v3"/>
    <xsd:import namespace="967ff642-b8ab-482c-84db-d2bed95e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ff642-b8ab-482c-84db-d2bed95e1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36F2C82-D766-49E6-B221-72BE582E69D4}"/>
</file>

<file path=customXml/itemProps2.xml><?xml version="1.0" encoding="utf-8"?>
<ds:datastoreItem xmlns:ds="http://schemas.openxmlformats.org/officeDocument/2006/customXml" ds:itemID="{7D4D8C0B-4186-4398-8A3C-33F918935E4C}"/>
</file>

<file path=customXml/itemProps3.xml><?xml version="1.0" encoding="utf-8"?>
<ds:datastoreItem xmlns:ds="http://schemas.openxmlformats.org/officeDocument/2006/customXml" ds:itemID="{C1E660F5-A3FB-4BCF-B139-D29FC0704BCE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Revenue</vt:lpstr>
      <vt:lpstr>Expenses</vt:lpstr>
      <vt:lpstr>P&amp;L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2026-03-10T15:34:43Z</dcterms:created>
  <dcterms:modified xsi:type="dcterms:W3CDTF">2026-03-12T17:15:57Z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0x0101000D3EBB80A9DA954CA68EDBF69D994D6F</vt:lpwstr>
  </property>
</Properties>
</file>