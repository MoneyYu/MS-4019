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4"/>
  <workbookPr/>
  <mc:AlternateContent xmlns:mc="http://schemas.openxmlformats.org/markup-compatibility/2006">
    <mc:Choice Requires="x15">
      <x15ac:absPath xmlns:x15ac="http://schemas.microsoft.com/office/spreadsheetml/2010/11/ac" url="https://microsoft-my.sharepoint.com/personal/maquinl_microsoft_com/Documents/Desktop/Copilot Work/MS-4019-lite/Final/4019lite/Prompt Guides/6. Edit with Copilot in Excel/Sample Docs/"/>
    </mc:Choice>
  </mc:AlternateContent>
  <xr:revisionPtr revIDLastSave="3" documentId="6_{4EFC7D44-D241-4C8B-9539-E01B341BECEC}" xr6:coauthVersionLast="47" xr6:coauthVersionMax="47" xr10:uidLastSave="{C24070B0-0089-4762-BE0B-9533B0557106}"/>
  <bookViews>
    <workbookView xWindow="-120" yWindow="-120" windowWidth="51840" windowHeight="21840" activeTab="2" xr2:uid="{2C612E93-559F-4B58-BAE4-B31E0EAB6E5E}"/>
  </bookViews>
  <sheets>
    <sheet name="global_inventory_export11182025" sheetId="1" r:id="rId1"/>
    <sheet name="demo_prompts" sheetId="2" state="hidden" r:id="rId2"/>
    <sheet name="Inventory Dashboard" sheetId="3" r:id="rId3"/>
  </sheets>
  <definedNames>
    <definedName name="FulfillmentOptions">#REF!</definedName>
    <definedName name="OrderQty">#REF!</definedName>
  </definedNames>
  <calcPr calcId="191028" concurrentCalc="0" concurrentManualCount="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24" i="3" l="1"/>
  <c r="N623" i="3"/>
  <c r="N622" i="3"/>
  <c r="N621" i="3"/>
  <c r="N620" i="3"/>
  <c r="N619" i="3"/>
  <c r="N618" i="3"/>
  <c r="N617" i="3"/>
  <c r="N616" i="3"/>
  <c r="N615" i="3"/>
  <c r="N614" i="3"/>
  <c r="N613" i="3"/>
  <c r="N612" i="3"/>
  <c r="N611" i="3"/>
  <c r="N610" i="3"/>
  <c r="N609" i="3"/>
  <c r="N608" i="3"/>
  <c r="N607" i="3"/>
  <c r="N606" i="3"/>
  <c r="N605" i="3"/>
  <c r="N604" i="3"/>
  <c r="N603" i="3"/>
  <c r="N602" i="3"/>
  <c r="N601" i="3"/>
  <c r="N600" i="3"/>
  <c r="N599" i="3"/>
  <c r="N598" i="3"/>
  <c r="N597" i="3"/>
  <c r="N596" i="3"/>
  <c r="N595" i="3"/>
  <c r="N594" i="3"/>
  <c r="N593" i="3"/>
  <c r="N592" i="3"/>
  <c r="N591" i="3"/>
  <c r="N590" i="3"/>
  <c r="N589" i="3"/>
  <c r="N588" i="3"/>
  <c r="N587" i="3"/>
  <c r="N586" i="3"/>
  <c r="N585" i="3"/>
  <c r="N584" i="3"/>
  <c r="N583" i="3"/>
  <c r="N582" i="3"/>
  <c r="N581" i="3"/>
  <c r="N580" i="3"/>
  <c r="N579" i="3"/>
  <c r="N578" i="3"/>
  <c r="N577" i="3"/>
  <c r="N576" i="3"/>
  <c r="N575" i="3"/>
  <c r="N574" i="3"/>
  <c r="N573" i="3"/>
  <c r="N572" i="3"/>
  <c r="N571" i="3"/>
  <c r="N570" i="3"/>
  <c r="N569" i="3"/>
  <c r="N568" i="3"/>
  <c r="N567" i="3"/>
  <c r="N566" i="3"/>
  <c r="N565" i="3"/>
  <c r="N564" i="3"/>
  <c r="N563" i="3"/>
  <c r="N562" i="3"/>
  <c r="N561" i="3"/>
  <c r="N560" i="3"/>
  <c r="N559" i="3"/>
  <c r="N558" i="3"/>
  <c r="N557" i="3"/>
  <c r="J624" i="3"/>
  <c r="J623" i="3"/>
  <c r="J622" i="3"/>
  <c r="J621" i="3"/>
  <c r="J620" i="3"/>
  <c r="J619" i="3"/>
  <c r="J618" i="3"/>
  <c r="J617" i="3"/>
  <c r="J616" i="3"/>
  <c r="J615" i="3"/>
  <c r="J614" i="3"/>
  <c r="J613" i="3"/>
  <c r="J612" i="3"/>
  <c r="J611" i="3"/>
  <c r="J610" i="3"/>
  <c r="J609" i="3"/>
  <c r="J608" i="3"/>
  <c r="J607" i="3"/>
  <c r="J606" i="3"/>
  <c r="J605" i="3"/>
  <c r="J604" i="3"/>
  <c r="J603" i="3"/>
  <c r="J602" i="3"/>
  <c r="J601" i="3"/>
  <c r="J600" i="3"/>
  <c r="J599" i="3"/>
  <c r="J598" i="3"/>
  <c r="J597" i="3"/>
  <c r="J596" i="3"/>
  <c r="J595" i="3"/>
  <c r="J594" i="3"/>
  <c r="J593" i="3"/>
  <c r="J592" i="3"/>
  <c r="J591" i="3"/>
  <c r="J590" i="3"/>
  <c r="J589" i="3"/>
  <c r="J588" i="3"/>
  <c r="J587" i="3"/>
  <c r="J586" i="3"/>
  <c r="J585" i="3"/>
  <c r="J584" i="3"/>
  <c r="J583" i="3"/>
  <c r="J582" i="3"/>
  <c r="J581" i="3"/>
  <c r="J580" i="3"/>
  <c r="J579" i="3"/>
  <c r="J578" i="3"/>
  <c r="J577" i="3"/>
  <c r="J576" i="3"/>
  <c r="J575" i="3"/>
  <c r="J574" i="3"/>
  <c r="J573" i="3"/>
  <c r="J572" i="3"/>
  <c r="J571" i="3"/>
  <c r="J570" i="3"/>
  <c r="J569" i="3"/>
  <c r="J568" i="3"/>
  <c r="J567" i="3"/>
  <c r="J566" i="3"/>
  <c r="J565" i="3"/>
  <c r="J564" i="3"/>
  <c r="J563" i="3"/>
  <c r="J562" i="3"/>
  <c r="J561" i="3"/>
  <c r="J560" i="3"/>
  <c r="J559" i="3"/>
  <c r="J558" i="3"/>
  <c r="J557" i="3"/>
  <c r="B553" i="3"/>
  <c r="B552" i="3" a="1"/>
  <c r="B551" i="3"/>
  <c r="B550" i="3"/>
  <c r="B549" i="3"/>
  <c r="K546" i="3"/>
  <c r="K545" i="3"/>
  <c r="K544" i="3"/>
  <c r="K543" i="3"/>
  <c r="K542" i="3"/>
  <c r="K541" i="3"/>
  <c r="K540" i="3"/>
  <c r="K539" i="3"/>
  <c r="K538" i="3"/>
  <c r="K537" i="3"/>
  <c r="K536" i="3"/>
  <c r="K535" i="3"/>
  <c r="K534" i="3"/>
  <c r="K533" i="3"/>
  <c r="K532" i="3"/>
  <c r="K531" i="3"/>
  <c r="K530" i="3"/>
  <c r="K529" i="3"/>
  <c r="K528" i="3"/>
  <c r="K527" i="3"/>
  <c r="K526" i="3"/>
  <c r="K525" i="3"/>
  <c r="K524" i="3"/>
  <c r="K523" i="3"/>
  <c r="K522" i="3"/>
  <c r="K521" i="3"/>
  <c r="K520" i="3"/>
  <c r="K519" i="3"/>
  <c r="K518" i="3"/>
  <c r="K517" i="3"/>
  <c r="K516" i="3"/>
  <c r="K515" i="3"/>
  <c r="K514" i="3"/>
  <c r="K513" i="3"/>
  <c r="K512" i="3"/>
  <c r="K511" i="3"/>
  <c r="K510" i="3"/>
  <c r="K509" i="3"/>
  <c r="K508" i="3"/>
  <c r="K507" i="3"/>
  <c r="K506" i="3"/>
  <c r="K505" i="3"/>
  <c r="K504" i="3"/>
  <c r="K503" i="3"/>
  <c r="K502" i="3"/>
  <c r="K501" i="3"/>
  <c r="K500" i="3"/>
  <c r="K499" i="3"/>
  <c r="K498" i="3"/>
  <c r="K497" i="3"/>
  <c r="K496" i="3"/>
  <c r="K495" i="3"/>
  <c r="K494" i="3"/>
  <c r="K493" i="3"/>
  <c r="K492" i="3"/>
  <c r="K491" i="3"/>
  <c r="J546" i="3"/>
  <c r="J545" i="3"/>
  <c r="J544" i="3"/>
  <c r="J543" i="3"/>
  <c r="J542" i="3"/>
  <c r="J541" i="3"/>
  <c r="J540" i="3"/>
  <c r="J539" i="3"/>
  <c r="J538" i="3"/>
  <c r="J537" i="3"/>
  <c r="J536" i="3"/>
  <c r="J535" i="3"/>
  <c r="J534" i="3"/>
  <c r="J533" i="3"/>
  <c r="J532" i="3"/>
  <c r="J531" i="3"/>
  <c r="J530" i="3"/>
  <c r="J529" i="3"/>
  <c r="J528" i="3"/>
  <c r="J527" i="3"/>
  <c r="J526" i="3"/>
  <c r="J525" i="3"/>
  <c r="J524" i="3"/>
  <c r="J523" i="3"/>
  <c r="J522" i="3"/>
  <c r="J521" i="3"/>
  <c r="J520" i="3"/>
  <c r="J519" i="3"/>
  <c r="J518" i="3"/>
  <c r="J517" i="3"/>
  <c r="J516" i="3"/>
  <c r="J515" i="3"/>
  <c r="J514" i="3"/>
  <c r="J513" i="3"/>
  <c r="J512" i="3"/>
  <c r="J511" i="3"/>
  <c r="J510" i="3"/>
  <c r="J509" i="3"/>
  <c r="J508" i="3"/>
  <c r="J507" i="3"/>
  <c r="J506" i="3"/>
  <c r="J505" i="3"/>
  <c r="J504" i="3"/>
  <c r="J503" i="3"/>
  <c r="J502" i="3"/>
  <c r="J501" i="3"/>
  <c r="J500" i="3"/>
  <c r="J499" i="3"/>
  <c r="J498" i="3"/>
  <c r="J497" i="3"/>
  <c r="J496" i="3"/>
  <c r="J495" i="3"/>
  <c r="J494" i="3"/>
  <c r="J493" i="3"/>
  <c r="J492" i="3"/>
  <c r="J491" i="3"/>
  <c r="K486" i="3"/>
  <c r="K485" i="3"/>
  <c r="K484" i="3"/>
  <c r="K483" i="3"/>
  <c r="K482" i="3"/>
  <c r="K481" i="3"/>
  <c r="K480" i="3"/>
  <c r="K479" i="3"/>
  <c r="K478" i="3"/>
  <c r="K477" i="3"/>
  <c r="K476" i="3"/>
  <c r="K475" i="3"/>
  <c r="K474" i="3"/>
  <c r="K473" i="3"/>
  <c r="K472" i="3"/>
  <c r="K471" i="3"/>
  <c r="K470" i="3"/>
  <c r="K469" i="3"/>
  <c r="K468" i="3"/>
  <c r="K467" i="3"/>
  <c r="K466" i="3"/>
  <c r="K465" i="3"/>
  <c r="K464" i="3"/>
  <c r="K463" i="3"/>
  <c r="K462" i="3"/>
  <c r="K461" i="3"/>
  <c r="K460" i="3"/>
  <c r="K459" i="3"/>
  <c r="K458" i="3"/>
  <c r="K457" i="3"/>
  <c r="K456" i="3"/>
  <c r="K455" i="3"/>
  <c r="K454" i="3"/>
  <c r="K453" i="3"/>
  <c r="K452" i="3"/>
  <c r="K451" i="3"/>
  <c r="K450" i="3"/>
  <c r="K449" i="3"/>
  <c r="K448" i="3"/>
  <c r="K447" i="3"/>
  <c r="K446" i="3"/>
  <c r="K445" i="3"/>
  <c r="K444" i="3"/>
  <c r="K443" i="3"/>
  <c r="K442" i="3"/>
  <c r="K441" i="3"/>
  <c r="K440" i="3"/>
  <c r="K439" i="3"/>
  <c r="K438" i="3"/>
  <c r="K437" i="3"/>
  <c r="K436" i="3"/>
  <c r="K435" i="3"/>
  <c r="K434" i="3"/>
  <c r="K433" i="3"/>
  <c r="K432" i="3"/>
  <c r="K431" i="3"/>
  <c r="K430" i="3"/>
  <c r="K429" i="3"/>
  <c r="K428" i="3"/>
  <c r="K427" i="3"/>
  <c r="K426" i="3"/>
  <c r="K425" i="3"/>
  <c r="K424" i="3"/>
  <c r="K423" i="3"/>
  <c r="K422" i="3"/>
  <c r="K421" i="3"/>
  <c r="K420" i="3"/>
  <c r="K419" i="3"/>
  <c r="K418" i="3"/>
  <c r="K417" i="3"/>
  <c r="K416" i="3"/>
  <c r="K415" i="3"/>
  <c r="K414" i="3"/>
  <c r="K413" i="3"/>
  <c r="K412" i="3"/>
  <c r="K411" i="3"/>
  <c r="K410" i="3"/>
  <c r="K409" i="3"/>
  <c r="K408" i="3"/>
  <c r="K407" i="3"/>
  <c r="K406" i="3"/>
  <c r="K405" i="3"/>
  <c r="K404" i="3"/>
  <c r="K403" i="3"/>
  <c r="K402" i="3"/>
  <c r="K401" i="3"/>
  <c r="K400" i="3"/>
  <c r="K399" i="3"/>
  <c r="K398" i="3"/>
  <c r="K397" i="3"/>
  <c r="K396" i="3"/>
  <c r="K395" i="3"/>
  <c r="K394" i="3"/>
  <c r="K393" i="3"/>
  <c r="K392" i="3"/>
  <c r="K391" i="3"/>
  <c r="K390" i="3"/>
  <c r="K389" i="3"/>
  <c r="K388" i="3"/>
  <c r="K387" i="3"/>
  <c r="K386" i="3"/>
  <c r="K385" i="3"/>
  <c r="K384" i="3"/>
  <c r="K383" i="3"/>
  <c r="K382" i="3"/>
  <c r="K381" i="3"/>
  <c r="K380" i="3"/>
  <c r="K379" i="3"/>
  <c r="K378" i="3"/>
  <c r="K377" i="3"/>
  <c r="K376" i="3"/>
  <c r="K375" i="3"/>
  <c r="K374" i="3"/>
  <c r="K373" i="3"/>
  <c r="K372" i="3"/>
  <c r="K371" i="3"/>
  <c r="K370" i="3"/>
  <c r="K369" i="3"/>
  <c r="K368" i="3"/>
  <c r="K367" i="3"/>
  <c r="K366" i="3"/>
  <c r="K365" i="3"/>
  <c r="K364" i="3"/>
  <c r="K363" i="3"/>
  <c r="K362" i="3"/>
  <c r="K361" i="3"/>
  <c r="K360" i="3"/>
  <c r="K359" i="3"/>
  <c r="K358" i="3"/>
  <c r="K357" i="3"/>
  <c r="K356" i="3"/>
  <c r="K355" i="3"/>
  <c r="K354" i="3"/>
  <c r="K353" i="3"/>
  <c r="K352" i="3"/>
  <c r="K351" i="3"/>
  <c r="K350" i="3"/>
  <c r="K349" i="3"/>
  <c r="K348" i="3"/>
  <c r="K347" i="3"/>
  <c r="K346" i="3"/>
  <c r="K345" i="3"/>
  <c r="K344" i="3"/>
  <c r="K343" i="3"/>
  <c r="K342" i="3"/>
  <c r="K341" i="3"/>
  <c r="K340" i="3"/>
  <c r="K339" i="3"/>
  <c r="K338" i="3"/>
  <c r="K337" i="3"/>
  <c r="K336" i="3"/>
  <c r="K335" i="3"/>
  <c r="K334" i="3"/>
  <c r="K333" i="3"/>
  <c r="K332" i="3"/>
  <c r="K331" i="3"/>
  <c r="K330" i="3"/>
  <c r="K329" i="3"/>
  <c r="K328" i="3"/>
  <c r="K327" i="3"/>
  <c r="K326" i="3"/>
  <c r="K325" i="3"/>
  <c r="K324" i="3"/>
  <c r="K323" i="3"/>
  <c r="K322" i="3"/>
  <c r="K321" i="3"/>
  <c r="K320" i="3"/>
  <c r="K319" i="3"/>
  <c r="K318" i="3"/>
  <c r="K317" i="3"/>
  <c r="K316" i="3"/>
  <c r="K315" i="3"/>
  <c r="K314" i="3"/>
  <c r="K313" i="3"/>
  <c r="K312" i="3"/>
  <c r="K311" i="3"/>
  <c r="K310" i="3"/>
  <c r="K309" i="3"/>
  <c r="K308" i="3"/>
  <c r="K307" i="3"/>
  <c r="K306" i="3"/>
  <c r="K305" i="3"/>
  <c r="K304" i="3"/>
  <c r="K303" i="3"/>
  <c r="K302" i="3"/>
  <c r="K301" i="3"/>
  <c r="K300" i="3"/>
  <c r="K299" i="3"/>
  <c r="K298" i="3"/>
  <c r="K297" i="3"/>
  <c r="K296" i="3"/>
  <c r="K295" i="3"/>
  <c r="K294" i="3"/>
  <c r="K293" i="3"/>
  <c r="K292" i="3"/>
  <c r="K291" i="3"/>
  <c r="K290" i="3"/>
  <c r="K289" i="3"/>
  <c r="K288" i="3"/>
  <c r="K287" i="3"/>
  <c r="K286" i="3"/>
  <c r="K285" i="3"/>
  <c r="K284" i="3"/>
  <c r="K283" i="3"/>
  <c r="K282" i="3"/>
  <c r="K281" i="3"/>
  <c r="K280" i="3"/>
  <c r="K279" i="3"/>
  <c r="K278" i="3"/>
  <c r="K277" i="3"/>
  <c r="K276" i="3"/>
  <c r="K275" i="3"/>
  <c r="K274" i="3"/>
  <c r="K273" i="3"/>
  <c r="K272" i="3"/>
  <c r="K271" i="3"/>
  <c r="K270" i="3"/>
  <c r="K269" i="3"/>
  <c r="K268" i="3"/>
  <c r="K267" i="3"/>
  <c r="K266" i="3"/>
  <c r="K265" i="3"/>
  <c r="K264" i="3"/>
  <c r="K263" i="3"/>
  <c r="K262" i="3"/>
  <c r="K261" i="3"/>
  <c r="K260" i="3"/>
  <c r="K259" i="3"/>
  <c r="K258" i="3"/>
  <c r="K257" i="3"/>
  <c r="K256" i="3"/>
  <c r="K255" i="3"/>
  <c r="K254" i="3"/>
  <c r="K253" i="3"/>
  <c r="K252" i="3"/>
  <c r="K251" i="3"/>
  <c r="K250" i="3"/>
  <c r="K249" i="3"/>
  <c r="K248" i="3"/>
  <c r="K247" i="3"/>
  <c r="K246" i="3"/>
  <c r="K245" i="3"/>
  <c r="K244" i="3"/>
  <c r="K243" i="3"/>
  <c r="K242" i="3"/>
  <c r="K241" i="3"/>
  <c r="K240" i="3"/>
  <c r="K239" i="3"/>
  <c r="K238" i="3"/>
  <c r="K237" i="3"/>
  <c r="K236" i="3"/>
  <c r="K235" i="3"/>
  <c r="K234" i="3"/>
  <c r="K233" i="3"/>
  <c r="K232" i="3"/>
  <c r="K231" i="3"/>
  <c r="K230" i="3"/>
  <c r="K229" i="3"/>
  <c r="K228" i="3"/>
  <c r="K227" i="3"/>
  <c r="K226" i="3"/>
  <c r="K225" i="3"/>
  <c r="K224" i="3"/>
  <c r="K223" i="3"/>
  <c r="K222" i="3"/>
  <c r="K221" i="3"/>
  <c r="K220" i="3"/>
  <c r="K219" i="3"/>
  <c r="K218" i="3"/>
  <c r="K217" i="3"/>
  <c r="K216" i="3"/>
  <c r="K215" i="3"/>
  <c r="K214" i="3"/>
  <c r="K213" i="3"/>
  <c r="K212" i="3"/>
  <c r="K211" i="3"/>
  <c r="K210" i="3"/>
  <c r="K209" i="3"/>
  <c r="K208" i="3"/>
  <c r="K207" i="3"/>
  <c r="K206" i="3"/>
  <c r="K205" i="3"/>
  <c r="K204" i="3"/>
  <c r="K203" i="3"/>
  <c r="K202" i="3"/>
  <c r="K201" i="3"/>
  <c r="K200" i="3"/>
  <c r="K199" i="3"/>
  <c r="K198" i="3"/>
  <c r="K197" i="3"/>
  <c r="K196" i="3"/>
  <c r="K195" i="3"/>
  <c r="K194" i="3"/>
  <c r="K193" i="3"/>
  <c r="K192" i="3"/>
  <c r="K191" i="3"/>
  <c r="K190" i="3"/>
  <c r="K189" i="3"/>
  <c r="K188" i="3"/>
  <c r="K187" i="3"/>
  <c r="K186" i="3"/>
  <c r="K185" i="3"/>
  <c r="K184" i="3"/>
  <c r="K183" i="3"/>
  <c r="K182" i="3"/>
  <c r="K181" i="3"/>
  <c r="K180" i="3"/>
  <c r="K179" i="3"/>
  <c r="K178" i="3"/>
  <c r="K177" i="3"/>
  <c r="K176" i="3"/>
  <c r="K175" i="3"/>
  <c r="K174" i="3"/>
  <c r="K173" i="3"/>
  <c r="K172" i="3"/>
  <c r="K171" i="3"/>
  <c r="K170" i="3"/>
  <c r="K169" i="3"/>
  <c r="K168" i="3"/>
  <c r="K167" i="3"/>
  <c r="K166" i="3"/>
  <c r="K165" i="3"/>
  <c r="K164" i="3"/>
  <c r="K163" i="3"/>
  <c r="K162" i="3"/>
  <c r="K161" i="3"/>
  <c r="K160" i="3"/>
  <c r="K159" i="3"/>
  <c r="K158" i="3"/>
  <c r="K157" i="3"/>
  <c r="K156" i="3"/>
  <c r="K155" i="3"/>
  <c r="K154" i="3"/>
  <c r="K153" i="3"/>
  <c r="K152" i="3"/>
  <c r="K151" i="3"/>
  <c r="K150" i="3"/>
  <c r="K149" i="3"/>
  <c r="K148" i="3"/>
  <c r="K147" i="3"/>
  <c r="K146" i="3"/>
  <c r="K145" i="3"/>
  <c r="K144" i="3"/>
  <c r="K143" i="3"/>
  <c r="K142" i="3"/>
  <c r="K141" i="3"/>
  <c r="K140" i="3"/>
  <c r="K139" i="3"/>
  <c r="K138" i="3"/>
  <c r="K137" i="3"/>
  <c r="K136" i="3"/>
  <c r="K135" i="3"/>
  <c r="K134" i="3"/>
  <c r="K133" i="3"/>
  <c r="K132" i="3"/>
  <c r="K131" i="3"/>
  <c r="K130" i="3"/>
  <c r="K129" i="3"/>
  <c r="K128" i="3"/>
  <c r="K127" i="3"/>
  <c r="K126" i="3"/>
  <c r="K125" i="3"/>
  <c r="K124" i="3"/>
  <c r="K123" i="3"/>
  <c r="K122" i="3"/>
  <c r="K121" i="3"/>
  <c r="K120" i="3"/>
  <c r="K119" i="3"/>
  <c r="K118" i="3"/>
  <c r="K117" i="3"/>
  <c r="K116" i="3"/>
  <c r="K115" i="3"/>
  <c r="K114" i="3"/>
  <c r="K113" i="3"/>
  <c r="K112" i="3"/>
  <c r="K111" i="3"/>
  <c r="K110" i="3"/>
  <c r="K109" i="3"/>
  <c r="K108" i="3"/>
  <c r="K107" i="3"/>
  <c r="K106" i="3"/>
  <c r="K105" i="3"/>
  <c r="K104" i="3"/>
  <c r="K103" i="3"/>
  <c r="K102" i="3"/>
  <c r="K101" i="3"/>
  <c r="K100" i="3"/>
  <c r="K99" i="3"/>
  <c r="K98" i="3"/>
  <c r="K97" i="3"/>
  <c r="K96" i="3"/>
  <c r="K95" i="3"/>
  <c r="K94" i="3"/>
  <c r="K93" i="3"/>
  <c r="K92" i="3"/>
  <c r="K91" i="3"/>
  <c r="K90" i="3"/>
  <c r="K89" i="3"/>
  <c r="K88" i="3"/>
  <c r="K87" i="3"/>
  <c r="K86" i="3"/>
  <c r="K85" i="3"/>
  <c r="K84" i="3"/>
  <c r="K83" i="3"/>
  <c r="K82" i="3"/>
  <c r="K81" i="3"/>
  <c r="K80" i="3"/>
  <c r="K79" i="3"/>
  <c r="K78" i="3"/>
  <c r="K77" i="3"/>
  <c r="K76" i="3"/>
  <c r="K75" i="3"/>
  <c r="K74" i="3"/>
  <c r="K73" i="3"/>
  <c r="K72" i="3"/>
  <c r="K71" i="3"/>
  <c r="K70" i="3"/>
  <c r="K69" i="3"/>
  <c r="K68" i="3"/>
  <c r="K67" i="3"/>
  <c r="K66" i="3"/>
  <c r="K65" i="3"/>
  <c r="K64" i="3"/>
  <c r="K63" i="3"/>
  <c r="K62" i="3"/>
  <c r="K61" i="3"/>
  <c r="K60" i="3"/>
  <c r="K59" i="3"/>
  <c r="K58" i="3"/>
  <c r="K57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H28" i="3"/>
  <c r="G28" i="3"/>
  <c r="F28" i="3"/>
  <c r="E28" i="3"/>
  <c r="D28" i="3"/>
  <c r="C28" i="3"/>
  <c r="B28" i="3"/>
  <c r="H27" i="3"/>
  <c r="G27" i="3"/>
  <c r="F27" i="3"/>
  <c r="E27" i="3"/>
  <c r="D27" i="3"/>
  <c r="C27" i="3"/>
  <c r="B27" i="3"/>
  <c r="H26" i="3"/>
  <c r="G26" i="3"/>
  <c r="F26" i="3"/>
  <c r="E26" i="3"/>
  <c r="D26" i="3"/>
  <c r="C26" i="3"/>
  <c r="B26" i="3"/>
  <c r="H25" i="3"/>
  <c r="G25" i="3"/>
  <c r="F25" i="3"/>
  <c r="E25" i="3"/>
  <c r="D25" i="3"/>
  <c r="C25" i="3"/>
  <c r="B25" i="3"/>
  <c r="H24" i="3"/>
  <c r="G24" i="3"/>
  <c r="F24" i="3"/>
  <c r="E24" i="3"/>
  <c r="D24" i="3"/>
  <c r="C24" i="3"/>
  <c r="B24" i="3"/>
  <c r="H23" i="3"/>
  <c r="G23" i="3"/>
  <c r="F23" i="3"/>
  <c r="E23" i="3"/>
  <c r="D23" i="3"/>
  <c r="C23" i="3"/>
  <c r="B23" i="3"/>
  <c r="H22" i="3"/>
  <c r="G22" i="3"/>
  <c r="F22" i="3"/>
  <c r="E22" i="3"/>
  <c r="D22" i="3"/>
  <c r="C22" i="3"/>
  <c r="B22" i="3"/>
  <c r="H21" i="3"/>
  <c r="G21" i="3"/>
  <c r="F21" i="3"/>
  <c r="E21" i="3"/>
  <c r="D21" i="3"/>
  <c r="C21" i="3"/>
  <c r="B21" i="3"/>
  <c r="H20" i="3"/>
  <c r="G20" i="3"/>
  <c r="F20" i="3"/>
  <c r="E20" i="3"/>
  <c r="D20" i="3"/>
  <c r="C20" i="3"/>
  <c r="B20" i="3"/>
  <c r="H16" i="3"/>
  <c r="G16" i="3"/>
  <c r="F16" i="3"/>
  <c r="E16" i="3"/>
  <c r="D16" i="3"/>
  <c r="C16" i="3"/>
  <c r="B16" i="3"/>
  <c r="H15" i="3"/>
  <c r="G15" i="3"/>
  <c r="F15" i="3"/>
  <c r="E15" i="3"/>
  <c r="D15" i="3"/>
  <c r="C15" i="3"/>
  <c r="B15" i="3"/>
  <c r="H14" i="3"/>
  <c r="G14" i="3"/>
  <c r="F14" i="3"/>
  <c r="E14" i="3"/>
  <c r="D14" i="3"/>
  <c r="C14" i="3"/>
  <c r="B14" i="3"/>
  <c r="H13" i="3"/>
  <c r="G13" i="3"/>
  <c r="F13" i="3"/>
  <c r="E13" i="3"/>
  <c r="D13" i="3"/>
  <c r="C13" i="3"/>
  <c r="B13" i="3"/>
  <c r="H12" i="3"/>
  <c r="G12" i="3"/>
  <c r="F12" i="3"/>
  <c r="E12" i="3"/>
  <c r="D12" i="3"/>
  <c r="C12" i="3"/>
  <c r="B12" i="3"/>
  <c r="H8" i="3"/>
  <c r="G8" i="3"/>
  <c r="F8" i="3"/>
  <c r="E8" i="3"/>
  <c r="D8" i="3"/>
  <c r="C8" i="3"/>
  <c r="B8" i="3"/>
  <c r="H7" i="3"/>
  <c r="G7" i="3" a="1"/>
  <c r="F7" i="3"/>
  <c r="E7" i="3"/>
  <c r="D7" i="3"/>
  <c r="C7" i="3"/>
  <c r="B7" i="3"/>
  <c r="H6" i="3"/>
  <c r="G6" i="3" a="1"/>
  <c r="F6" i="3"/>
  <c r="E6" i="3"/>
  <c r="D6" i="3"/>
  <c r="C6" i="3"/>
  <c r="B6" i="3"/>
  <c r="H5" i="3"/>
  <c r="G5" i="3" a="1"/>
  <c r="F5" i="3"/>
  <c r="E5" i="3"/>
  <c r="D5" i="3"/>
  <c r="C5" i="3"/>
  <c r="B5" i="3"/>
  <c r="H4" i="3"/>
  <c r="G4" i="3" a="1"/>
  <c r="F4" i="3"/>
  <c r="E4" i="3"/>
  <c r="D4" i="3"/>
  <c r="C4" i="3"/>
  <c r="B4" i="3"/>
  <c r="H3" i="3"/>
  <c r="G3" i="3" a="1"/>
  <c r="F3" i="3"/>
  <c r="E3" i="3"/>
  <c r="D3" i="3"/>
  <c r="C3" i="3"/>
  <c r="B3" i="3"/>
  <c r="J69" i="1"/>
  <c r="J230" i="1"/>
  <c r="J605" i="1"/>
  <c r="J688" i="1"/>
  <c r="J412" i="1"/>
  <c r="J477" i="1"/>
  <c r="J428" i="1"/>
  <c r="J24" i="1"/>
  <c r="J117" i="1"/>
  <c r="J250" i="1"/>
  <c r="J396" i="1"/>
  <c r="J323" i="1"/>
  <c r="J165" i="1"/>
  <c r="J511" i="1"/>
  <c r="J2" i="1"/>
  <c r="J134" i="1"/>
  <c r="J635" i="1"/>
  <c r="J594" i="1"/>
  <c r="J366" i="1"/>
  <c r="J385" i="1"/>
  <c r="J36" i="1"/>
  <c r="J212" i="1"/>
  <c r="J343" i="1"/>
  <c r="J529" i="1"/>
  <c r="J303" i="1"/>
  <c r="J146" i="1"/>
  <c r="J267" i="1"/>
  <c r="J459" i="1"/>
  <c r="J736" i="1"/>
  <c r="J703" i="1"/>
  <c r="J774" i="1"/>
  <c r="J86" i="1"/>
  <c r="J102" i="1"/>
  <c r="J555" i="1"/>
  <c r="J749" i="1"/>
  <c r="J280" i="1"/>
  <c r="J652" i="1"/>
  <c r="J50" i="1"/>
  <c r="J571" i="1"/>
  <c r="J182" i="1"/>
  <c r="J251" i="1"/>
  <c r="J460" i="1"/>
  <c r="J304" i="1"/>
  <c r="J653" i="1"/>
  <c r="J572" i="1"/>
  <c r="J606" i="1"/>
  <c r="J595" i="1"/>
  <c r="J478" i="1"/>
  <c r="J324" i="1"/>
  <c r="J268" i="1"/>
  <c r="J147" i="1"/>
  <c r="J750" i="1"/>
  <c r="J530" i="1"/>
  <c r="J704" i="1"/>
  <c r="J213" i="1"/>
  <c r="J367" i="1"/>
  <c r="J413" i="1"/>
  <c r="J556" i="1"/>
  <c r="J386" i="1"/>
  <c r="J512" i="1"/>
  <c r="J429" i="1"/>
  <c r="J3" i="1"/>
  <c r="J51" i="1"/>
  <c r="J103" i="1"/>
  <c r="J446" i="1"/>
  <c r="J183" i="1"/>
  <c r="J461" i="1"/>
  <c r="J671" i="1"/>
  <c r="J214" i="1"/>
  <c r="J148" i="1"/>
  <c r="J479" i="1"/>
  <c r="J37" i="1"/>
  <c r="J573" i="1"/>
  <c r="J705" i="1"/>
  <c r="J751" i="1"/>
  <c r="J305" i="1"/>
  <c r="J636" i="1"/>
  <c r="J166" i="1"/>
  <c r="J737" i="1"/>
  <c r="J654" i="1"/>
  <c r="J252" i="1"/>
  <c r="J368" i="1"/>
  <c r="J52" i="1"/>
  <c r="J557" i="1"/>
  <c r="J531" i="1"/>
  <c r="J325" i="1"/>
  <c r="J215" i="1"/>
  <c r="J607" i="1"/>
  <c r="J621" i="1"/>
  <c r="J513" i="1"/>
  <c r="J70" i="1"/>
  <c r="J558" i="1"/>
  <c r="J306" i="1"/>
  <c r="J135" i="1"/>
  <c r="J722" i="1"/>
  <c r="J532" i="1"/>
  <c r="J723" i="1"/>
  <c r="J4" i="1"/>
  <c r="J53" i="1"/>
  <c r="J167" i="1"/>
  <c r="J344" i="1"/>
  <c r="J706" i="1"/>
  <c r="J149" i="1"/>
  <c r="J559" i="1"/>
  <c r="J326" i="1"/>
  <c r="J707" i="1"/>
  <c r="J496" i="1"/>
  <c r="J38" i="1"/>
  <c r="J708" i="1"/>
  <c r="J738" i="1"/>
  <c r="J5" i="1"/>
  <c r="J775" i="1"/>
  <c r="J54" i="1"/>
  <c r="J414" i="1"/>
  <c r="J6" i="1"/>
  <c r="J655" i="1"/>
  <c r="J327" i="1"/>
  <c r="J608" i="1"/>
  <c r="J71" i="1"/>
  <c r="J762" i="1"/>
  <c r="J104" i="1"/>
  <c r="J118" i="1"/>
  <c r="J596" i="1"/>
  <c r="J387" i="1"/>
  <c r="J119" i="1"/>
  <c r="J462" i="1"/>
  <c r="J415" i="1"/>
  <c r="J585" i="1"/>
  <c r="J136" i="1"/>
  <c r="J776" i="1"/>
  <c r="J430" i="1"/>
  <c r="J416" i="1"/>
  <c r="J763" i="1"/>
  <c r="J764" i="1"/>
  <c r="J514" i="1"/>
  <c r="J724" i="1"/>
  <c r="J777" i="1"/>
  <c r="J725" i="1"/>
  <c r="J672" i="1"/>
  <c r="J39" i="1"/>
  <c r="J480" i="1"/>
  <c r="J637" i="1"/>
  <c r="J481" i="1"/>
  <c r="J482" i="1"/>
  <c r="J739" i="1"/>
  <c r="J543" i="1"/>
  <c r="J269" i="1"/>
  <c r="J25" i="1"/>
  <c r="J253" i="1"/>
  <c r="J388" i="1"/>
  <c r="J417" i="1"/>
  <c r="J307" i="1"/>
  <c r="J515" i="1"/>
  <c r="J574" i="1"/>
  <c r="J709" i="1"/>
  <c r="J184" i="1"/>
  <c r="J431" i="1"/>
  <c r="J418" i="1"/>
  <c r="J72" i="1"/>
  <c r="J105" i="1"/>
  <c r="J168" i="1"/>
  <c r="J73" i="1"/>
  <c r="J231" i="1"/>
  <c r="J638" i="1"/>
  <c r="J656" i="1"/>
  <c r="J575" i="1"/>
  <c r="J106" i="1"/>
  <c r="J26" i="1"/>
  <c r="J185" i="1"/>
  <c r="J281" i="1"/>
  <c r="J397" i="1"/>
  <c r="J87" i="1"/>
  <c r="J483" i="1"/>
  <c r="J657" i="1"/>
  <c r="J169" i="1"/>
  <c r="J432" i="1"/>
  <c r="J752" i="1"/>
  <c r="J658" i="1"/>
  <c r="J673" i="1"/>
  <c r="J586" i="1"/>
  <c r="J282" i="1"/>
  <c r="J463" i="1"/>
  <c r="J447" i="1"/>
  <c r="J88" i="1"/>
  <c r="J270" i="1"/>
  <c r="J560" i="1"/>
  <c r="J609" i="1"/>
  <c r="J328" i="1"/>
  <c r="J398" i="1"/>
  <c r="J27" i="1"/>
  <c r="J610" i="1"/>
  <c r="J399" i="1"/>
  <c r="J639" i="1"/>
  <c r="J89" i="1"/>
  <c r="J433" i="1"/>
  <c r="J40" i="1"/>
  <c r="J448" i="1"/>
  <c r="J389" i="1"/>
  <c r="J90" i="1"/>
  <c r="J254" i="1"/>
  <c r="J740" i="1"/>
  <c r="J28" i="1"/>
  <c r="J369" i="1"/>
  <c r="J186" i="1"/>
  <c r="J419" i="1"/>
  <c r="J216" i="1"/>
  <c r="J516" i="1"/>
  <c r="J689" i="1"/>
  <c r="J690" i="1"/>
  <c r="J434" i="1"/>
  <c r="J232" i="1"/>
  <c r="J611" i="1"/>
  <c r="J271" i="1"/>
  <c r="J691" i="1"/>
  <c r="J533" i="1"/>
  <c r="J7" i="1"/>
  <c r="J217" i="1"/>
  <c r="J137" i="1"/>
  <c r="J329" i="1"/>
  <c r="J91" i="1"/>
  <c r="J170" i="1"/>
  <c r="J120" i="1"/>
  <c r="J640" i="1"/>
  <c r="J345" i="1"/>
  <c r="J449" i="1"/>
  <c r="J497" i="1"/>
  <c r="J544" i="1"/>
  <c r="J484" i="1"/>
  <c r="J517" i="1"/>
  <c r="J545" i="1"/>
  <c r="J534" i="1"/>
  <c r="J622" i="1"/>
  <c r="J400" i="1"/>
  <c r="J171" i="1"/>
  <c r="J518" i="1"/>
  <c r="J576" i="1"/>
  <c r="J765" i="1"/>
  <c r="J308" i="1"/>
  <c r="J659" i="1"/>
  <c r="J330" i="1"/>
  <c r="J587" i="1"/>
  <c r="J498" i="1"/>
  <c r="J401" i="1"/>
  <c r="J641" i="1"/>
  <c r="J346" i="1"/>
  <c r="J612" i="1"/>
  <c r="J499" i="1"/>
  <c r="J8" i="1"/>
  <c r="J9" i="1"/>
  <c r="J150" i="1"/>
  <c r="J370" i="1"/>
  <c r="J309" i="1"/>
  <c r="J55" i="1"/>
  <c r="J500" i="1"/>
  <c r="J561" i="1"/>
  <c r="J753" i="1"/>
  <c r="J56" i="1"/>
  <c r="J597" i="1"/>
  <c r="J371" i="1"/>
  <c r="J778" i="1"/>
  <c r="J121" i="1"/>
  <c r="J501" i="1"/>
  <c r="J464" i="1"/>
  <c r="J623" i="1"/>
  <c r="J692" i="1"/>
  <c r="J218" i="1"/>
  <c r="J435" i="1"/>
  <c r="J372" i="1"/>
  <c r="J674" i="1"/>
  <c r="J598" i="1"/>
  <c r="J283" i="1"/>
  <c r="J779" i="1"/>
  <c r="J675" i="1"/>
  <c r="J233" i="1"/>
  <c r="J310" i="1"/>
  <c r="J187" i="1"/>
  <c r="J754" i="1"/>
  <c r="J74" i="1"/>
  <c r="J75" i="1"/>
  <c r="J726" i="1"/>
  <c r="J188" i="1"/>
  <c r="J741" i="1"/>
  <c r="J660" i="1"/>
  <c r="J450" i="1"/>
  <c r="J41" i="1"/>
  <c r="J390" i="1"/>
  <c r="J10" i="1"/>
  <c r="J402" i="1"/>
  <c r="J546" i="1"/>
  <c r="J57" i="1"/>
  <c r="J577" i="1"/>
  <c r="J780" i="1"/>
  <c r="J42" i="1"/>
  <c r="J578" i="1"/>
  <c r="J122" i="1"/>
  <c r="J76" i="1"/>
  <c r="J311" i="1"/>
  <c r="J613" i="1"/>
  <c r="J465" i="1"/>
  <c r="J535" i="1"/>
  <c r="J391" i="1"/>
  <c r="J219" i="1"/>
  <c r="J642" i="1"/>
  <c r="J172" i="1"/>
  <c r="J519" i="1"/>
  <c r="J151" i="1"/>
  <c r="J92" i="1"/>
  <c r="J710" i="1"/>
  <c r="J436" i="1"/>
  <c r="J29" i="1"/>
  <c r="J58" i="1"/>
  <c r="J742" i="1"/>
  <c r="J347" i="1"/>
  <c r="J579" i="1"/>
  <c r="J676" i="1"/>
  <c r="J536" i="1"/>
  <c r="J547" i="1"/>
  <c r="J255" i="1"/>
  <c r="J107" i="1"/>
  <c r="J661" i="1"/>
  <c r="J677" i="1"/>
  <c r="J93" i="1"/>
  <c r="J727" i="1"/>
  <c r="J485" i="1"/>
  <c r="J152" i="1"/>
  <c r="J678" i="1"/>
  <c r="J588" i="1"/>
  <c r="J331" i="1"/>
  <c r="J766" i="1"/>
  <c r="J332" i="1"/>
  <c r="J466" i="1"/>
  <c r="J153" i="1"/>
  <c r="J284" i="1"/>
  <c r="J755" i="1"/>
  <c r="J43" i="1"/>
  <c r="J77" i="1"/>
  <c r="J662" i="1"/>
  <c r="J502" i="1"/>
  <c r="J392" i="1"/>
  <c r="J11" i="1"/>
  <c r="J437" i="1"/>
  <c r="J781" i="1"/>
  <c r="J767" i="1"/>
  <c r="J173" i="1"/>
  <c r="J728" i="1"/>
  <c r="J373" i="1"/>
  <c r="J154" i="1"/>
  <c r="J312" i="1"/>
  <c r="J711" i="1"/>
  <c r="J420" i="1"/>
  <c r="J782" i="1"/>
  <c r="J643" i="1"/>
  <c r="J333" i="1"/>
  <c r="J663" i="1"/>
  <c r="J712" i="1"/>
  <c r="J548" i="1"/>
  <c r="J313" i="1"/>
  <c r="J256" i="1"/>
  <c r="J94" i="1"/>
  <c r="J549" i="1"/>
  <c r="J451" i="1"/>
  <c r="J467" i="1"/>
  <c r="J348" i="1"/>
  <c r="J452" i="1"/>
  <c r="J453" i="1"/>
  <c r="J272" i="1"/>
  <c r="J349" i="1"/>
  <c r="J350" i="1"/>
  <c r="J624" i="1"/>
  <c r="J44" i="1"/>
  <c r="J693" i="1"/>
  <c r="J550" i="1"/>
  <c r="J520" i="1"/>
  <c r="J614" i="1"/>
  <c r="J220" i="1"/>
  <c r="J486" i="1"/>
  <c r="J644" i="1"/>
  <c r="J221" i="1"/>
  <c r="J59" i="1"/>
  <c r="J285" i="1"/>
  <c r="J174" i="1"/>
  <c r="J694" i="1"/>
  <c r="J713" i="1"/>
  <c r="J487" i="1"/>
  <c r="J615" i="1"/>
  <c r="J334" i="1"/>
  <c r="J234" i="1"/>
  <c r="J12" i="1"/>
  <c r="J175" i="1"/>
  <c r="J222" i="1"/>
  <c r="J123" i="1"/>
  <c r="J13" i="1"/>
  <c r="J14" i="1"/>
  <c r="J714" i="1"/>
  <c r="J679" i="1"/>
  <c r="J403" i="1"/>
  <c r="J468" i="1"/>
  <c r="J783" i="1"/>
  <c r="J30" i="1"/>
  <c r="J124" i="1"/>
  <c r="J537" i="1"/>
  <c r="J488" i="1"/>
  <c r="J454" i="1"/>
  <c r="J273" i="1"/>
  <c r="J695" i="1"/>
  <c r="J108" i="1"/>
  <c r="J784" i="1"/>
  <c r="J469" i="1"/>
  <c r="J562" i="1"/>
  <c r="J455" i="1"/>
  <c r="J599" i="1"/>
  <c r="J503" i="1"/>
  <c r="J404" i="1"/>
  <c r="J756" i="1"/>
  <c r="J600" i="1"/>
  <c r="J438" i="1"/>
  <c r="J60" i="1"/>
  <c r="J489" i="1"/>
  <c r="J45" i="1"/>
  <c r="J729" i="1"/>
  <c r="J235" i="1"/>
  <c r="J125" i="1"/>
  <c r="J470" i="1"/>
  <c r="J696" i="1"/>
  <c r="J274" i="1"/>
  <c r="J680" i="1"/>
  <c r="J286" i="1"/>
  <c r="J405" i="1"/>
  <c r="J616" i="1"/>
  <c r="J664" i="1"/>
  <c r="J580" i="1"/>
  <c r="J78" i="1"/>
  <c r="J439" i="1"/>
  <c r="J176" i="1"/>
  <c r="J785" i="1"/>
  <c r="J681" i="1"/>
  <c r="J406" i="1"/>
  <c r="J625" i="1"/>
  <c r="J768" i="1"/>
  <c r="J79" i="1"/>
  <c r="J730" i="1"/>
  <c r="J95" i="1"/>
  <c r="J287" i="1"/>
  <c r="J126" i="1"/>
  <c r="J257" i="1"/>
  <c r="J31" i="1"/>
  <c r="J96" i="1"/>
  <c r="J236" i="1"/>
  <c r="J757" i="1"/>
  <c r="J335" i="1"/>
  <c r="J109" i="1"/>
  <c r="J626" i="1"/>
  <c r="J563" i="1"/>
  <c r="J155" i="1"/>
  <c r="J421" i="1"/>
  <c r="J627" i="1"/>
  <c r="J374" i="1"/>
  <c r="J223" i="1"/>
  <c r="J589" i="1"/>
  <c r="J564" i="1"/>
  <c r="J665" i="1"/>
  <c r="J743" i="1"/>
  <c r="J645" i="1"/>
  <c r="J97" i="1"/>
  <c r="J565" i="1"/>
  <c r="J440" i="1"/>
  <c r="J46" i="1"/>
  <c r="J275" i="1"/>
  <c r="J538" i="1"/>
  <c r="J521" i="1"/>
  <c r="J156" i="1"/>
  <c r="J375" i="1"/>
  <c r="J590" i="1"/>
  <c r="J581" i="1"/>
  <c r="J336" i="1"/>
  <c r="J138" i="1"/>
  <c r="J601" i="1"/>
  <c r="J127" i="1"/>
  <c r="J422" i="1"/>
  <c r="J189" i="1"/>
  <c r="J441" i="1"/>
  <c r="J504" i="1"/>
  <c r="J139" i="1"/>
  <c r="J522" i="1"/>
  <c r="J566" i="1"/>
  <c r="J177" i="1"/>
  <c r="J190" i="1"/>
  <c r="J140" i="1"/>
  <c r="J288" i="1"/>
  <c r="J628" i="1"/>
  <c r="J715" i="1"/>
  <c r="J744" i="1"/>
  <c r="J191" i="1"/>
  <c r="J276" i="1"/>
  <c r="J289" i="1"/>
  <c r="J505" i="1"/>
  <c r="J745" i="1"/>
  <c r="J697" i="1"/>
  <c r="J716" i="1"/>
  <c r="J47" i="1"/>
  <c r="J646" i="1"/>
  <c r="J407" i="1"/>
  <c r="J61" i="1"/>
  <c r="J567" i="1"/>
  <c r="J523" i="1"/>
  <c r="J617" i="1"/>
  <c r="J337" i="1"/>
  <c r="J758" i="1"/>
  <c r="J769" i="1"/>
  <c r="J277" i="1"/>
  <c r="J408" i="1"/>
  <c r="J682" i="1"/>
  <c r="J471" i="1"/>
  <c r="J351" i="1"/>
  <c r="J141" i="1"/>
  <c r="J142" i="1"/>
  <c r="J731" i="1"/>
  <c r="J770" i="1"/>
  <c r="J290" i="1"/>
  <c r="J786" i="1"/>
  <c r="J629" i="1"/>
  <c r="J157" i="1"/>
  <c r="J490" i="1"/>
  <c r="J717" i="1"/>
  <c r="J291" i="1"/>
  <c r="J423" i="1"/>
  <c r="J732" i="1"/>
  <c r="J524" i="1"/>
  <c r="J143" i="1"/>
  <c r="J683" i="1"/>
  <c r="J224" i="1"/>
  <c r="J128" i="1"/>
  <c r="J178" i="1"/>
  <c r="J338" i="1"/>
  <c r="J787" i="1"/>
  <c r="J472" i="1"/>
  <c r="J192" i="1"/>
  <c r="J225" i="1"/>
  <c r="J718" i="1"/>
  <c r="J591" i="1"/>
  <c r="J352" i="1"/>
  <c r="J539" i="1"/>
  <c r="J80" i="1"/>
  <c r="J733" i="1"/>
  <c r="J684" i="1"/>
  <c r="J81" i="1"/>
  <c r="J144" i="1"/>
  <c r="J618" i="1"/>
  <c r="J568" i="1"/>
  <c r="J746" i="1"/>
  <c r="J393" i="1"/>
  <c r="J226" i="1"/>
  <c r="J15" i="1"/>
  <c r="J129" i="1"/>
  <c r="J788" i="1"/>
  <c r="J48" i="1"/>
  <c r="J569" i="1"/>
  <c r="J540" i="1"/>
  <c r="J258" i="1"/>
  <c r="J666" i="1"/>
  <c r="J339" i="1"/>
  <c r="J353" i="1"/>
  <c r="J259" i="1"/>
  <c r="J541" i="1"/>
  <c r="J719" i="1"/>
  <c r="J491" i="1"/>
  <c r="J16" i="1"/>
  <c r="J442" i="1"/>
  <c r="J130" i="1"/>
  <c r="J278" i="1"/>
  <c r="J158" i="1"/>
  <c r="J237" i="1"/>
  <c r="J227" i="1"/>
  <c r="J193" i="1"/>
  <c r="J667" i="1"/>
  <c r="J424" i="1"/>
  <c r="J759" i="1"/>
  <c r="J409" i="1"/>
  <c r="J602" i="1"/>
  <c r="J159" i="1"/>
  <c r="J542" i="1"/>
  <c r="J619" i="1"/>
  <c r="J376" i="1"/>
  <c r="J32" i="1"/>
  <c r="J340" i="1"/>
  <c r="J425" i="1"/>
  <c r="J630" i="1"/>
  <c r="J394" i="1"/>
  <c r="J760" i="1"/>
  <c r="J473" i="1"/>
  <c r="J17" i="1"/>
  <c r="J98" i="1"/>
  <c r="J99" i="1"/>
  <c r="J551" i="1"/>
  <c r="J82" i="1"/>
  <c r="J647" i="1"/>
  <c r="J83" i="1"/>
  <c r="J238" i="1"/>
  <c r="J239" i="1"/>
  <c r="J62" i="1"/>
  <c r="J685" i="1"/>
  <c r="J314" i="1"/>
  <c r="J668" i="1"/>
  <c r="J631" i="1"/>
  <c r="J18" i="1"/>
  <c r="J33" i="1"/>
  <c r="J525" i="1"/>
  <c r="J34" i="1"/>
  <c r="J632" i="1"/>
  <c r="J279" i="1"/>
  <c r="J582" i="1"/>
  <c r="J228" i="1"/>
  <c r="J734" i="1"/>
  <c r="J771" i="1"/>
  <c r="J648" i="1"/>
  <c r="J100" i="1"/>
  <c r="J552" i="1"/>
  <c r="J160" i="1"/>
  <c r="J698" i="1"/>
  <c r="J456" i="1"/>
  <c r="J354" i="1"/>
  <c r="J410" i="1"/>
  <c r="J131" i="1"/>
  <c r="J592" i="1"/>
  <c r="J570" i="1"/>
  <c r="J669" i="1"/>
  <c r="J110" i="1"/>
  <c r="J526" i="1"/>
  <c r="J457" i="1"/>
  <c r="J761" i="1"/>
  <c r="J553" i="1"/>
  <c r="J111" i="1"/>
  <c r="J699" i="1"/>
  <c r="J112" i="1"/>
  <c r="J411" i="1"/>
  <c r="J700" i="1"/>
  <c r="J19" i="1"/>
  <c r="J315" i="1"/>
  <c r="J506" i="1"/>
  <c r="J720" i="1"/>
  <c r="J686" i="1"/>
  <c r="J620" i="1"/>
  <c r="J492" i="1"/>
  <c r="J603" i="1"/>
  <c r="J772" i="1"/>
  <c r="J84" i="1"/>
  <c r="J474" i="1"/>
  <c r="J355" i="1"/>
  <c r="J161" i="1"/>
  <c r="J583" i="1"/>
  <c r="J113" i="1"/>
  <c r="J747" i="1"/>
  <c r="J132" i="1"/>
  <c r="J507" i="1"/>
  <c r="J604" i="1"/>
  <c r="J773" i="1"/>
  <c r="J508" i="1"/>
  <c r="J493" i="1"/>
  <c r="J527" i="1"/>
  <c r="J593" i="1"/>
  <c r="J554" i="1"/>
  <c r="J292" i="1"/>
  <c r="J63" i="1"/>
  <c r="J494" i="1"/>
  <c r="J179" i="1"/>
  <c r="J49" i="1"/>
  <c r="J789" i="1"/>
  <c r="J133" i="1"/>
  <c r="J495" i="1"/>
  <c r="J229" i="1"/>
  <c r="J85" i="1"/>
  <c r="J194" i="1"/>
  <c r="J735" i="1"/>
  <c r="J670" i="1"/>
  <c r="J426" i="1"/>
  <c r="J687" i="1"/>
  <c r="J395" i="1"/>
  <c r="J649" i="1"/>
  <c r="J584" i="1"/>
  <c r="J341" i="1"/>
  <c r="J427" i="1"/>
  <c r="J145" i="1"/>
  <c r="J316" i="1"/>
  <c r="J650" i="1"/>
  <c r="J342" i="1"/>
  <c r="J64" i="1"/>
  <c r="J509" i="1"/>
  <c r="J510" i="1"/>
  <c r="J443" i="1"/>
  <c r="J240" i="1"/>
  <c r="J458" i="1"/>
  <c r="J195" i="1"/>
  <c r="J293" i="1"/>
  <c r="J377" i="1"/>
  <c r="J475" i="1"/>
  <c r="J633" i="1"/>
  <c r="J378" i="1"/>
  <c r="J701" i="1"/>
  <c r="J748" i="1"/>
  <c r="J260" i="1"/>
  <c r="J634" i="1"/>
  <c r="J651" i="1"/>
  <c r="J721" i="1"/>
  <c r="J180" i="1"/>
  <c r="J181" i="1"/>
  <c r="J356" i="1"/>
  <c r="J101" i="1"/>
  <c r="J20" i="1"/>
  <c r="J65" i="1"/>
  <c r="J444" i="1"/>
  <c r="J702" i="1"/>
  <c r="J445" i="1"/>
  <c r="J196" i="1"/>
  <c r="J528" i="1"/>
  <c r="J35" i="1"/>
  <c r="J476" i="1"/>
  <c r="J114" i="1"/>
  <c r="J66" i="1"/>
  <c r="J21" i="1"/>
  <c r="J162" i="1"/>
  <c r="J115" i="1"/>
  <c r="J67" i="1"/>
  <c r="J22" i="1"/>
  <c r="J163" i="1"/>
  <c r="J116" i="1"/>
  <c r="J68" i="1"/>
  <c r="J23" i="1"/>
  <c r="J164" i="1"/>
  <c r="J363" i="1"/>
  <c r="J300" i="1"/>
  <c r="J247" i="1"/>
  <c r="J203" i="1"/>
  <c r="J364" i="1"/>
  <c r="J301" i="1"/>
  <c r="J248" i="1"/>
  <c r="J204" i="1"/>
  <c r="J365" i="1"/>
  <c r="J302" i="1"/>
  <c r="J249" i="1"/>
  <c r="J205" i="1"/>
  <c r="J382" i="1"/>
  <c r="J320" i="1"/>
  <c r="J264" i="1"/>
  <c r="J209" i="1"/>
  <c r="J383" i="1"/>
  <c r="J321" i="1"/>
  <c r="J265" i="1"/>
  <c r="J210" i="1"/>
  <c r="J384" i="1"/>
  <c r="J322" i="1"/>
  <c r="J266" i="1"/>
  <c r="J211" i="1"/>
  <c r="J357" i="1"/>
  <c r="J294" i="1"/>
  <c r="J241" i="1"/>
  <c r="J197" i="1"/>
  <c r="J358" i="1"/>
  <c r="J295" i="1"/>
  <c r="J242" i="1"/>
  <c r="J198" i="1"/>
  <c r="J359" i="1"/>
  <c r="J296" i="1"/>
  <c r="J243" i="1"/>
  <c r="J199" i="1"/>
  <c r="J360" i="1"/>
  <c r="J297" i="1"/>
  <c r="J244" i="1"/>
  <c r="J200" i="1"/>
  <c r="J361" i="1"/>
  <c r="J298" i="1"/>
  <c r="J245" i="1"/>
  <c r="J201" i="1"/>
  <c r="J362" i="1"/>
  <c r="J299" i="1"/>
  <c r="J246" i="1"/>
  <c r="J202" i="1"/>
  <c r="J379" i="1"/>
  <c r="J317" i="1"/>
  <c r="J261" i="1"/>
  <c r="J206" i="1"/>
  <c r="J380" i="1"/>
  <c r="J318" i="1"/>
  <c r="J262" i="1"/>
  <c r="J207" i="1"/>
  <c r="J381" i="1"/>
  <c r="J319" i="1"/>
  <c r="J263" i="1"/>
  <c r="J208" i="1"/>
  <c r="B20" i="2"/>
  <c r="B19" i="2"/>
  <c r="B18" i="2"/>
  <c r="B17" i="2"/>
  <c r="C20" i="2"/>
  <c r="E20" i="2"/>
  <c r="C17" i="2"/>
  <c r="C19" i="2"/>
  <c r="C18" i="2"/>
  <c r="E21" i="2"/>
  <c r="D20" i="2"/>
  <c r="B23" i="2"/>
  <c r="E22" i="2"/>
  <c r="E23" i="2"/>
  <c r="E24" i="2"/>
  <c r="E25" i="2"/>
  <c r="E26" i="2"/>
  <c r="D18" i="2"/>
  <c r="E27" i="2"/>
  <c r="E28" i="2"/>
  <c r="D19" i="2"/>
  <c r="D17" i="2"/>
  <c r="B2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<sst xmlns="http://schemas.openxmlformats.org/spreadsheetml/2006/main" count="13000" uniqueCount="2766">
  <si>
    <t>SKU ID</t>
  </si>
  <si>
    <t>Product Name</t>
  </si>
  <si>
    <t>Category</t>
  </si>
  <si>
    <t>Size</t>
  </si>
  <si>
    <t>Color</t>
  </si>
  <si>
    <t>Warehouse Code</t>
  </si>
  <si>
    <t>Location ZIP</t>
  </si>
  <si>
    <t>Qty On Hand</t>
  </si>
  <si>
    <t>Qty Allocated</t>
  </si>
  <si>
    <t>Qty Available</t>
  </si>
  <si>
    <t>Reorder Point</t>
  </si>
  <si>
    <t>Bin Location</t>
  </si>
  <si>
    <t>Lot Number</t>
  </si>
  <si>
    <t>Vendor ID</t>
  </si>
  <si>
    <t>Status</t>
  </si>
  <si>
    <t>Picker ID</t>
  </si>
  <si>
    <t>Zone</t>
  </si>
  <si>
    <t>ZCFET-SS-L-B</t>
  </si>
  <si>
    <t>ZavaCore Field Elite Tee</t>
  </si>
  <si>
    <t>Apparel</t>
  </si>
  <si>
    <t>Large</t>
  </si>
  <si>
    <t>Black</t>
  </si>
  <si>
    <t>SAN</t>
  </si>
  <si>
    <t>A20-7</t>
  </si>
  <si>
    <t>LOT57222</t>
  </si>
  <si>
    <t>VEND-345</t>
  </si>
  <si>
    <t>Active</t>
  </si>
  <si>
    <t>P354</t>
  </si>
  <si>
    <t>C</t>
  </si>
  <si>
    <t>WOO</t>
  </si>
  <si>
    <t>A44-9</t>
  </si>
  <si>
    <t>LOT39815</t>
  </si>
  <si>
    <t>VEND-525</t>
  </si>
  <si>
    <t>P718</t>
  </si>
  <si>
    <t>B</t>
  </si>
  <si>
    <t>DAL</t>
  </si>
  <si>
    <t>C11-17</t>
  </si>
  <si>
    <t>LOT75131</t>
  </si>
  <si>
    <t>VEND-406</t>
  </si>
  <si>
    <t>P889</t>
  </si>
  <si>
    <t>D</t>
  </si>
  <si>
    <t>D12-19</t>
  </si>
  <si>
    <t>LOT94375</t>
  </si>
  <si>
    <t>VEND-643</t>
  </si>
  <si>
    <t>P987</t>
  </si>
  <si>
    <t>C56-12</t>
  </si>
  <si>
    <t>LOT29415</t>
  </si>
  <si>
    <t>VEND-495</t>
  </si>
  <si>
    <t>Low Stock</t>
  </si>
  <si>
    <t>P629</t>
  </si>
  <si>
    <t>B40-17</t>
  </si>
  <si>
    <t>LOT60261</t>
  </si>
  <si>
    <t>VEND-538</t>
  </si>
  <si>
    <t>P218</t>
  </si>
  <si>
    <t>A25-15</t>
  </si>
  <si>
    <t>LOT85863</t>
  </si>
  <si>
    <t>VEND-200</t>
  </si>
  <si>
    <t>P797</t>
  </si>
  <si>
    <t>C46-9</t>
  </si>
  <si>
    <t>LOT18797</t>
  </si>
  <si>
    <t>VEND-971</t>
  </si>
  <si>
    <t>P569</t>
  </si>
  <si>
    <t>STL</t>
  </si>
  <si>
    <t>B13-19</t>
  </si>
  <si>
    <t>LOT25363</t>
  </si>
  <si>
    <t>VEND-493</t>
  </si>
  <si>
    <t>P469</t>
  </si>
  <si>
    <t>A12-3</t>
  </si>
  <si>
    <t>LOT23547</t>
  </si>
  <si>
    <t>VEND-672</t>
  </si>
  <si>
    <t>P700</t>
  </si>
  <si>
    <t>C36-6</t>
  </si>
  <si>
    <t>LOT86300</t>
  </si>
  <si>
    <t>VEND-269</t>
  </si>
  <si>
    <t>P896</t>
  </si>
  <si>
    <t>B29-19</t>
  </si>
  <si>
    <t>LOT88629</t>
  </si>
  <si>
    <t>VEND-485</t>
  </si>
  <si>
    <t>P917</t>
  </si>
  <si>
    <t>B19-3</t>
  </si>
  <si>
    <t>LOT53355</t>
  </si>
  <si>
    <t>VEND-370</t>
  </si>
  <si>
    <t>P490</t>
  </si>
  <si>
    <t>CLT</t>
  </si>
  <si>
    <t>A56-17</t>
  </si>
  <si>
    <t>LOT65925</t>
  </si>
  <si>
    <t>VEND-794</t>
  </si>
  <si>
    <t>P232</t>
  </si>
  <si>
    <t>A13-16</t>
  </si>
  <si>
    <t>LOT14395</t>
  </si>
  <si>
    <t>VEND-551</t>
  </si>
  <si>
    <t>P965</t>
  </si>
  <si>
    <t>A</t>
  </si>
  <si>
    <t>B46-4</t>
  </si>
  <si>
    <t>LOT81652</t>
  </si>
  <si>
    <t>VEND-659</t>
  </si>
  <si>
    <t>P851</t>
  </si>
  <si>
    <t>B27-11</t>
  </si>
  <si>
    <t>LOT18047</t>
  </si>
  <si>
    <t>VEND-420</t>
  </si>
  <si>
    <t>P114</t>
  </si>
  <si>
    <t>B33-5</t>
  </si>
  <si>
    <t>LOT87568</t>
  </si>
  <si>
    <t>VEND-414</t>
  </si>
  <si>
    <t>P158</t>
  </si>
  <si>
    <t>B38-2</t>
  </si>
  <si>
    <t>LOT20785</t>
  </si>
  <si>
    <t>VEND-548</t>
  </si>
  <si>
    <t>P133</t>
  </si>
  <si>
    <t>C03-04</t>
  </si>
  <si>
    <t>LOTSTL03</t>
  </si>
  <si>
    <t>VEND-102</t>
  </si>
  <si>
    <t>P2003</t>
  </si>
  <si>
    <t>C13-03</t>
  </si>
  <si>
    <t>LOTDAL03</t>
  </si>
  <si>
    <t>VEND-106</t>
  </si>
  <si>
    <t>P2013</t>
  </si>
  <si>
    <t>C23-03</t>
  </si>
  <si>
    <t>LOTWOO03</t>
  </si>
  <si>
    <t>VEND-110</t>
  </si>
  <si>
    <t>P2023</t>
  </si>
  <si>
    <t>ZCFET-SS-L-BO</t>
  </si>
  <si>
    <t>Black/Orange</t>
  </si>
  <si>
    <t>B33-15</t>
  </si>
  <si>
    <t>LOT77086</t>
  </si>
  <si>
    <t>VEND-600</t>
  </si>
  <si>
    <t>P872</t>
  </si>
  <si>
    <t>C38-16</t>
  </si>
  <si>
    <t>LOT13734</t>
  </si>
  <si>
    <t>VEND-549</t>
  </si>
  <si>
    <t>P854</t>
  </si>
  <si>
    <t>C21-3</t>
  </si>
  <si>
    <t>LOT85145</t>
  </si>
  <si>
    <t>VEND-582</t>
  </si>
  <si>
    <t>P515</t>
  </si>
  <si>
    <t>D40-2</t>
  </si>
  <si>
    <t>LOT56242</t>
  </si>
  <si>
    <t>VEND-180</t>
  </si>
  <si>
    <t>P475</t>
  </si>
  <si>
    <t>C36-20</t>
  </si>
  <si>
    <t>LOT75760</t>
  </si>
  <si>
    <t>VEND-405</t>
  </si>
  <si>
    <t>P250</t>
  </si>
  <si>
    <t>C48-3</t>
  </si>
  <si>
    <t>LOT18265</t>
  </si>
  <si>
    <t>VEND-129</t>
  </si>
  <si>
    <t>P848</t>
  </si>
  <si>
    <t>B54-20</t>
  </si>
  <si>
    <t>LOT68073</t>
  </si>
  <si>
    <t>VEND-751</t>
  </si>
  <si>
    <t>P858</t>
  </si>
  <si>
    <t>D36-20</t>
  </si>
  <si>
    <t>LOT83839</t>
  </si>
  <si>
    <t>VEND-575</t>
  </si>
  <si>
    <t>A48-15</t>
  </si>
  <si>
    <t>LOT30125</t>
  </si>
  <si>
    <t>VEND-571</t>
  </si>
  <si>
    <t>P953</t>
  </si>
  <si>
    <t>B21-14</t>
  </si>
  <si>
    <t>LOT10954</t>
  </si>
  <si>
    <t>VEND-578</t>
  </si>
  <si>
    <t>P1053</t>
  </si>
  <si>
    <t>C40-12</t>
  </si>
  <si>
    <t>LOT70959</t>
  </si>
  <si>
    <t>VEND-314</t>
  </si>
  <si>
    <t>P738</t>
  </si>
  <si>
    <t>A23-12</t>
  </si>
  <si>
    <t>LOT81319</t>
  </si>
  <si>
    <t>VEND-515</t>
  </si>
  <si>
    <t>P893</t>
  </si>
  <si>
    <t>ZCFET-SS-L-O</t>
  </si>
  <si>
    <t>Orange</t>
  </si>
  <si>
    <t>B30-19</t>
  </si>
  <si>
    <t>LOT89401</t>
  </si>
  <si>
    <t>VEND-617</t>
  </si>
  <si>
    <t>P836</t>
  </si>
  <si>
    <t>C11-18</t>
  </si>
  <si>
    <t>LOT68803</t>
  </si>
  <si>
    <t>VEND-631</t>
  </si>
  <si>
    <t>P110</t>
  </si>
  <si>
    <t>A15-17</t>
  </si>
  <si>
    <t>LOT59687</t>
  </si>
  <si>
    <t>VEND-451</t>
  </si>
  <si>
    <t>P310</t>
  </si>
  <si>
    <t>A40-15</t>
  </si>
  <si>
    <t>LOT80129</t>
  </si>
  <si>
    <t>VEND-430</t>
  </si>
  <si>
    <t>P737</t>
  </si>
  <si>
    <t>B45-2</t>
  </si>
  <si>
    <t>LOT97290</t>
  </si>
  <si>
    <t>VEND-682</t>
  </si>
  <si>
    <t>P208</t>
  </si>
  <si>
    <t>D12-7</t>
  </si>
  <si>
    <t>LOT97368</t>
  </si>
  <si>
    <t>VEND-759</t>
  </si>
  <si>
    <t>P499</t>
  </si>
  <si>
    <t>A47-1</t>
  </si>
  <si>
    <t>LOT75144</t>
  </si>
  <si>
    <t>VEND-445</t>
  </si>
  <si>
    <t>P436</t>
  </si>
  <si>
    <t>D32-6</t>
  </si>
  <si>
    <t>LOT38752</t>
  </si>
  <si>
    <t>VEND-572</t>
  </si>
  <si>
    <t>P628</t>
  </si>
  <si>
    <t>D28-4</t>
  </si>
  <si>
    <t>LOT37842</t>
  </si>
  <si>
    <t>VEND-977</t>
  </si>
  <si>
    <t>P637</t>
  </si>
  <si>
    <t>A36-16</t>
  </si>
  <si>
    <t>LOT86592</t>
  </si>
  <si>
    <t>VEND-359</t>
  </si>
  <si>
    <t>P298</t>
  </si>
  <si>
    <t>D57-4</t>
  </si>
  <si>
    <t>LOT22181</t>
  </si>
  <si>
    <t>VEND-664</t>
  </si>
  <si>
    <t>P669</t>
  </si>
  <si>
    <t>A17-3</t>
  </si>
  <si>
    <t>LOT83272</t>
  </si>
  <si>
    <t>VEND-559</t>
  </si>
  <si>
    <t>P201</t>
  </si>
  <si>
    <t>C28-14</t>
  </si>
  <si>
    <t>LOT30142</t>
  </si>
  <si>
    <t>VEND-216</t>
  </si>
  <si>
    <t>P599</t>
  </si>
  <si>
    <t>B11-11</t>
  </si>
  <si>
    <t>LOT62319</t>
  </si>
  <si>
    <t>VEND-277</t>
  </si>
  <si>
    <t>P1021</t>
  </si>
  <si>
    <t>ZCFET-SS-M-B</t>
  </si>
  <si>
    <t>Medium</t>
  </si>
  <si>
    <t>B11-18</t>
  </si>
  <si>
    <t>LOT71799</t>
  </si>
  <si>
    <t>VEND-702</t>
  </si>
  <si>
    <t>P355</t>
  </si>
  <si>
    <t>B10-19</t>
  </si>
  <si>
    <t>LOT31386</t>
  </si>
  <si>
    <t>VEND-189</t>
  </si>
  <si>
    <t>P1046</t>
  </si>
  <si>
    <t>C19-16</t>
  </si>
  <si>
    <t>LOT86919</t>
  </si>
  <si>
    <t>VEND-434</t>
  </si>
  <si>
    <t>P371</t>
  </si>
  <si>
    <t>C15-7</t>
  </si>
  <si>
    <t>LOT31269</t>
  </si>
  <si>
    <t>VEND-908</t>
  </si>
  <si>
    <t>P1010</t>
  </si>
  <si>
    <t>D54-13</t>
  </si>
  <si>
    <t>LOT81128</t>
  </si>
  <si>
    <t>VEND-402</t>
  </si>
  <si>
    <t>P441</t>
  </si>
  <si>
    <t>C48-11</t>
  </si>
  <si>
    <t>LOT75369</t>
  </si>
  <si>
    <t>VEND-307</t>
  </si>
  <si>
    <t>P1026</t>
  </si>
  <si>
    <t>D16-9</t>
  </si>
  <si>
    <t>LOT55362</t>
  </si>
  <si>
    <t>VEND-980</t>
  </si>
  <si>
    <t>P938</t>
  </si>
  <si>
    <t>A29-12</t>
  </si>
  <si>
    <t>LOT27471</t>
  </si>
  <si>
    <t>VEND-143</t>
  </si>
  <si>
    <t>P713</t>
  </si>
  <si>
    <t>D58-20</t>
  </si>
  <si>
    <t>LOT15882</t>
  </si>
  <si>
    <t>VEND-887</t>
  </si>
  <si>
    <t>P828</t>
  </si>
  <si>
    <t>C14-13</t>
  </si>
  <si>
    <t>LOT30305</t>
  </si>
  <si>
    <t>VEND-630</t>
  </si>
  <si>
    <t>P352</t>
  </si>
  <si>
    <t>C27-14</t>
  </si>
  <si>
    <t>LOT84716</t>
  </si>
  <si>
    <t>VEND-297</t>
  </si>
  <si>
    <t>P329</t>
  </si>
  <si>
    <t>B55-1</t>
  </si>
  <si>
    <t>LOT13047</t>
  </si>
  <si>
    <t>VEND-720</t>
  </si>
  <si>
    <t>P1016</t>
  </si>
  <si>
    <t>D39-17</t>
  </si>
  <si>
    <t>LOT47144</t>
  </si>
  <si>
    <t>VEND-286</t>
  </si>
  <si>
    <t>P809</t>
  </si>
  <si>
    <t>C32-2</t>
  </si>
  <si>
    <t>LOT72130</t>
  </si>
  <si>
    <t>VEND-976</t>
  </si>
  <si>
    <t>P983</t>
  </si>
  <si>
    <t>D13-6</t>
  </si>
  <si>
    <t>LOT39193</t>
  </si>
  <si>
    <t>P995</t>
  </si>
  <si>
    <t>C39-17</t>
  </si>
  <si>
    <t>LOT59289</t>
  </si>
  <si>
    <t>VEND-432</t>
  </si>
  <si>
    <t>P533</t>
  </si>
  <si>
    <t>B02-03</t>
  </si>
  <si>
    <t>LOTSTL02</t>
  </si>
  <si>
    <t>VEND-101</t>
  </si>
  <si>
    <t>P2002</t>
  </si>
  <si>
    <t>B12-02</t>
  </si>
  <si>
    <t>LOTDAL02</t>
  </si>
  <si>
    <t>VEND-105</t>
  </si>
  <si>
    <t>P2012</t>
  </si>
  <si>
    <t>B22-02</t>
  </si>
  <si>
    <t>LOTWOO02</t>
  </si>
  <si>
    <t>VEND-109</t>
  </si>
  <si>
    <t>P2022</t>
  </si>
  <si>
    <t>ZCFET-SS-M-BO</t>
  </si>
  <si>
    <t>C56-18</t>
  </si>
  <si>
    <t>LOT44250</t>
  </si>
  <si>
    <t>VEND-990</t>
  </si>
  <si>
    <t>P236</t>
  </si>
  <si>
    <t>D16-13</t>
  </si>
  <si>
    <t>LOT85634</t>
  </si>
  <si>
    <t>VEND-868</t>
  </si>
  <si>
    <t>P279</t>
  </si>
  <si>
    <t>C48-9</t>
  </si>
  <si>
    <t>LOT30268</t>
  </si>
  <si>
    <t>VEND-564</t>
  </si>
  <si>
    <t>P837</t>
  </si>
  <si>
    <t>C36-11</t>
  </si>
  <si>
    <t>LOT68311</t>
  </si>
  <si>
    <t>VEND-128</t>
  </si>
  <si>
    <t>P319</t>
  </si>
  <si>
    <t>B32-9</t>
  </si>
  <si>
    <t>LOT66102</t>
  </si>
  <si>
    <t>VEND-904</t>
  </si>
  <si>
    <t>C10-14</t>
  </si>
  <si>
    <t>LOT99805</t>
  </si>
  <si>
    <t>VEND-592</t>
  </si>
  <si>
    <t>P419</t>
  </si>
  <si>
    <t>B54-17</t>
  </si>
  <si>
    <t>LOT20250</t>
  </si>
  <si>
    <t>VEND-407</t>
  </si>
  <si>
    <t>P336</t>
  </si>
  <si>
    <t>A41-17</t>
  </si>
  <si>
    <t>LOT24243</t>
  </si>
  <si>
    <t>VEND-741</t>
  </si>
  <si>
    <t>P228</t>
  </si>
  <si>
    <t>D32-18</t>
  </si>
  <si>
    <t>LOT57100</t>
  </si>
  <si>
    <t>VEND-499</t>
  </si>
  <si>
    <t>P170</t>
  </si>
  <si>
    <t>C59-6</t>
  </si>
  <si>
    <t>LOT38921</t>
  </si>
  <si>
    <t>VEND-103</t>
  </si>
  <si>
    <t>P1054</t>
  </si>
  <si>
    <t>A26-10</t>
  </si>
  <si>
    <t>LOT29665</t>
  </si>
  <si>
    <t>VEND-325</t>
  </si>
  <si>
    <t>P796</t>
  </si>
  <si>
    <t>A26-13</t>
  </si>
  <si>
    <t>LOT31582</t>
  </si>
  <si>
    <t>P280</t>
  </si>
  <si>
    <t>D55-5</t>
  </si>
  <si>
    <t>LOT28974</t>
  </si>
  <si>
    <t>VEND-285</t>
  </si>
  <si>
    <t>P328</t>
  </si>
  <si>
    <t>B16-6</t>
  </si>
  <si>
    <t>LOT66454</t>
  </si>
  <si>
    <t>VEND-873</t>
  </si>
  <si>
    <t>P709</t>
  </si>
  <si>
    <t>LOT47863</t>
  </si>
  <si>
    <t>VEND-673</t>
  </si>
  <si>
    <t>P646</t>
  </si>
  <si>
    <t>D20-20</t>
  </si>
  <si>
    <t>LOT95479</t>
  </si>
  <si>
    <t>P198</t>
  </si>
  <si>
    <t>A42-11</t>
  </si>
  <si>
    <t>LOT86151</t>
  </si>
  <si>
    <t>VEND-421</t>
  </si>
  <si>
    <t>P105</t>
  </si>
  <si>
    <t>ZCFET-SS-M-O</t>
  </si>
  <si>
    <t>A47-17</t>
  </si>
  <si>
    <t>LOT36723</t>
  </si>
  <si>
    <t>VEND-409</t>
  </si>
  <si>
    <t>P168</t>
  </si>
  <si>
    <t>D38-2</t>
  </si>
  <si>
    <t>LOT46155</t>
  </si>
  <si>
    <t>VEND-274</t>
  </si>
  <si>
    <t>P431</t>
  </si>
  <si>
    <t>C56-4</t>
  </si>
  <si>
    <t>LOT45478</t>
  </si>
  <si>
    <t>VEND-239</t>
  </si>
  <si>
    <t>P1024</t>
  </si>
  <si>
    <t>C44-15</t>
  </si>
  <si>
    <t>LOT56702</t>
  </si>
  <si>
    <t>VEND-801</t>
  </si>
  <si>
    <t>P128</t>
  </si>
  <si>
    <t>C59-10</t>
  </si>
  <si>
    <t>LOT54805</t>
  </si>
  <si>
    <t>VEND-372</t>
  </si>
  <si>
    <t>P505</t>
  </si>
  <si>
    <t>A22-4</t>
  </si>
  <si>
    <t>LOT37387</t>
  </si>
  <si>
    <t>VEND-197</t>
  </si>
  <si>
    <t>P295</t>
  </si>
  <si>
    <t>A29-9</t>
  </si>
  <si>
    <t>LOT85585</t>
  </si>
  <si>
    <t>VEND-161</t>
  </si>
  <si>
    <t>P491</t>
  </si>
  <si>
    <t>D59-15</t>
  </si>
  <si>
    <t>LOT46656</t>
  </si>
  <si>
    <t>VEND-830</t>
  </si>
  <si>
    <t>P631</t>
  </si>
  <si>
    <t>D24-6</t>
  </si>
  <si>
    <t>LOT53127</t>
  </si>
  <si>
    <t>VEND-336</t>
  </si>
  <si>
    <t>P691</t>
  </si>
  <si>
    <t>A16-4</t>
  </si>
  <si>
    <t>LOT65271</t>
  </si>
  <si>
    <t>VEND-875</t>
  </si>
  <si>
    <t>P827</t>
  </si>
  <si>
    <t>C36-9</t>
  </si>
  <si>
    <t>LOT42080</t>
  </si>
  <si>
    <t>VEND-836</t>
  </si>
  <si>
    <t>P230</t>
  </si>
  <si>
    <t>D42-8</t>
  </si>
  <si>
    <t>LOT39251</t>
  </si>
  <si>
    <t>VEND-701</t>
  </si>
  <si>
    <t>P539</t>
  </si>
  <si>
    <t>LOT48304</t>
  </si>
  <si>
    <t>VEND-520</t>
  </si>
  <si>
    <t>P770</t>
  </si>
  <si>
    <t>A10-13</t>
  </si>
  <si>
    <t>LOT14963</t>
  </si>
  <si>
    <t>VEND-158</t>
  </si>
  <si>
    <t>P223</t>
  </si>
  <si>
    <t>A27-4</t>
  </si>
  <si>
    <t>LOT23008</t>
  </si>
  <si>
    <t>P988</t>
  </si>
  <si>
    <t>C43-14</t>
  </si>
  <si>
    <t>LOT19043</t>
  </si>
  <si>
    <t>VEND-205</t>
  </si>
  <si>
    <t>P686</t>
  </si>
  <si>
    <t>ZCFET-SS-S-B</t>
  </si>
  <si>
    <t>Small</t>
  </si>
  <si>
    <t>B10-20</t>
  </si>
  <si>
    <t>LOT69607</t>
  </si>
  <si>
    <t>VEND-140</t>
  </si>
  <si>
    <t>P440</t>
  </si>
  <si>
    <t>D34-1</t>
  </si>
  <si>
    <t>LOT84895</t>
  </si>
  <si>
    <t>VEND-958</t>
  </si>
  <si>
    <t>C28-1</t>
  </si>
  <si>
    <t>LOT79305</t>
  </si>
  <si>
    <t>VEND-889</t>
  </si>
  <si>
    <t>P109</t>
  </si>
  <si>
    <t>C57-1</t>
  </si>
  <si>
    <t>LOT77208</t>
  </si>
  <si>
    <t>VEND-193</t>
  </si>
  <si>
    <t>P650</t>
  </si>
  <si>
    <t>A15-7</t>
  </si>
  <si>
    <t>LOT65300</t>
  </si>
  <si>
    <t>P625</t>
  </si>
  <si>
    <t>A17-19</t>
  </si>
  <si>
    <t>LOT59380</t>
  </si>
  <si>
    <t>VEND-412</t>
  </si>
  <si>
    <t>P994</t>
  </si>
  <si>
    <t>B40-1</t>
  </si>
  <si>
    <t>LOT14811</t>
  </si>
  <si>
    <t>VEND-779</t>
  </si>
  <si>
    <t>P615</t>
  </si>
  <si>
    <t>A57-6</t>
  </si>
  <si>
    <t>LOT53615</t>
  </si>
  <si>
    <t>VEND-632</t>
  </si>
  <si>
    <t>P495</t>
  </si>
  <si>
    <t>D37-10</t>
  </si>
  <si>
    <t>LOT37733</t>
  </si>
  <si>
    <t>VEND-622</t>
  </si>
  <si>
    <t>P798</t>
  </si>
  <si>
    <t>B57-5</t>
  </si>
  <si>
    <t>LOT75199</t>
  </si>
  <si>
    <t>VEND-710</t>
  </si>
  <si>
    <t>P1047</t>
  </si>
  <si>
    <t>LOT13488</t>
  </si>
  <si>
    <t>VEND-209</t>
  </si>
  <si>
    <t>P745</t>
  </si>
  <si>
    <t>A20-13</t>
  </si>
  <si>
    <t>LOT21972</t>
  </si>
  <si>
    <t>VEND-621</t>
  </si>
  <si>
    <t>A01-01</t>
  </si>
  <si>
    <t>LOTSTL01</t>
  </si>
  <si>
    <t>VEND-100</t>
  </si>
  <si>
    <t>P2001</t>
  </si>
  <si>
    <t>A11-01</t>
  </si>
  <si>
    <t>LOTDAL01</t>
  </si>
  <si>
    <t>VEND-104</t>
  </si>
  <si>
    <t>P2011</t>
  </si>
  <si>
    <t>A21-01</t>
  </si>
  <si>
    <t>LOTWOO01</t>
  </si>
  <si>
    <t>VEND-108</t>
  </si>
  <si>
    <t>P2021</t>
  </si>
  <si>
    <t>ZCFET-SS-S-BO</t>
  </si>
  <si>
    <t>B43-5</t>
  </si>
  <si>
    <t>LOT33695</t>
  </si>
  <si>
    <t>VEND-332</t>
  </si>
  <si>
    <t>P1045</t>
  </si>
  <si>
    <t>D12-11</t>
  </si>
  <si>
    <t>LOT54985</t>
  </si>
  <si>
    <t>VEND-649</t>
  </si>
  <si>
    <t>P146</t>
  </si>
  <si>
    <t>C35-3</t>
  </si>
  <si>
    <t>LOT91293</t>
  </si>
  <si>
    <t>VEND-315</t>
  </si>
  <si>
    <t>P207</t>
  </si>
  <si>
    <t>B24-9</t>
  </si>
  <si>
    <t>LOT70499</t>
  </si>
  <si>
    <t>VEND-955</t>
  </si>
  <si>
    <t>P1011</t>
  </si>
  <si>
    <t>C37-20</t>
  </si>
  <si>
    <t>LOT22871</t>
  </si>
  <si>
    <t>VEND-185</t>
  </si>
  <si>
    <t>P173</t>
  </si>
  <si>
    <t>C29-18</t>
  </si>
  <si>
    <t>LOT57902</t>
  </si>
  <si>
    <t>VEND-235</t>
  </si>
  <si>
    <t>P317</t>
  </si>
  <si>
    <t>D17-10</t>
  </si>
  <si>
    <t>LOT66852</t>
  </si>
  <si>
    <t>VEND-194</t>
  </si>
  <si>
    <t>P103</t>
  </si>
  <si>
    <t>D36-12</t>
  </si>
  <si>
    <t>LOT48670</t>
  </si>
  <si>
    <t>P670</t>
  </si>
  <si>
    <t>D56-11</t>
  </si>
  <si>
    <t>LOT61134</t>
  </si>
  <si>
    <t>VEND-341</t>
  </si>
  <si>
    <t>D24-15</t>
  </si>
  <si>
    <t>LOT67717</t>
  </si>
  <si>
    <t>P708</t>
  </si>
  <si>
    <t>D38-6</t>
  </si>
  <si>
    <t>LOT24138</t>
  </si>
  <si>
    <t>VEND-448</t>
  </si>
  <si>
    <t>P890</t>
  </si>
  <si>
    <t>D22-20</t>
  </si>
  <si>
    <t>LOT17434</t>
  </si>
  <si>
    <t>P532</t>
  </si>
  <si>
    <t>C30-3</t>
  </si>
  <si>
    <t>LOT78638</t>
  </si>
  <si>
    <t>VEND-355</t>
  </si>
  <si>
    <t>P623</t>
  </si>
  <si>
    <t>C58-13</t>
  </si>
  <si>
    <t>LOT91265</t>
  </si>
  <si>
    <t>VEND-724</t>
  </si>
  <si>
    <t>P927</t>
  </si>
  <si>
    <t>A23-20</t>
  </si>
  <si>
    <t>LOT39796</t>
  </si>
  <si>
    <t>VEND-281</t>
  </si>
  <si>
    <t>C46-19</t>
  </si>
  <si>
    <t>LOT56926</t>
  </si>
  <si>
    <t>VEND-732</t>
  </si>
  <si>
    <t>D21-19</t>
  </si>
  <si>
    <t>LOT13402</t>
  </si>
  <si>
    <t>VEND-518</t>
  </si>
  <si>
    <t>P655</t>
  </si>
  <si>
    <t>ZCFET-SS-S-O</t>
  </si>
  <si>
    <t>B17-4</t>
  </si>
  <si>
    <t>LOT40675</t>
  </si>
  <si>
    <t>VEND-728</t>
  </si>
  <si>
    <t>P589</t>
  </si>
  <si>
    <t>C25-20</t>
  </si>
  <si>
    <t>LOT29275</t>
  </si>
  <si>
    <t>VEND-639</t>
  </si>
  <si>
    <t>D20-7</t>
  </si>
  <si>
    <t>LOT84570</t>
  </si>
  <si>
    <t>VEND-238</t>
  </si>
  <si>
    <t>P1051</t>
  </si>
  <si>
    <t>B38-11</t>
  </si>
  <si>
    <t>LOT82500</t>
  </si>
  <si>
    <t>VEND-580</t>
  </si>
  <si>
    <t>D46-15</t>
  </si>
  <si>
    <t>LOT32694</t>
  </si>
  <si>
    <t>VEND-148</t>
  </si>
  <si>
    <t>P511</t>
  </si>
  <si>
    <t>B56-14</t>
  </si>
  <si>
    <t>LOT48661</t>
  </si>
  <si>
    <t>VEND-397</t>
  </si>
  <si>
    <t>P466</t>
  </si>
  <si>
    <t>B27-2</t>
  </si>
  <si>
    <t>LOT60378</t>
  </si>
  <si>
    <t>VEND-669</t>
  </si>
  <si>
    <t>P477</t>
  </si>
  <si>
    <t>D28-20</t>
  </si>
  <si>
    <t>LOT90356</t>
  </si>
  <si>
    <t>P1025</t>
  </si>
  <si>
    <t>A31-1</t>
  </si>
  <si>
    <t>LOT30431</t>
  </si>
  <si>
    <t>VEND-507</t>
  </si>
  <si>
    <t>P856</t>
  </si>
  <si>
    <t>A32-11</t>
  </si>
  <si>
    <t>LOT40912</t>
  </si>
  <si>
    <t>VEND-940</t>
  </si>
  <si>
    <t>P766</t>
  </si>
  <si>
    <t>B10-6</t>
  </si>
  <si>
    <t>LOT61714</t>
  </si>
  <si>
    <t>VEND-782</t>
  </si>
  <si>
    <t>P903</t>
  </si>
  <si>
    <t>B18-7</t>
  </si>
  <si>
    <t>LOT35954</t>
  </si>
  <si>
    <t>VEND-894</t>
  </si>
  <si>
    <t>P1044</t>
  </si>
  <si>
    <t>ZCFET-SS-XL-B</t>
  </si>
  <si>
    <t>Extra Large</t>
  </si>
  <si>
    <t>D35-16</t>
  </si>
  <si>
    <t>LOT46244</t>
  </si>
  <si>
    <t>VEND-396</t>
  </si>
  <si>
    <t>P771</t>
  </si>
  <si>
    <t>D13-2</t>
  </si>
  <si>
    <t>LOT49505</t>
  </si>
  <si>
    <t>VEND-388</t>
  </si>
  <si>
    <t>P409</t>
  </si>
  <si>
    <t>B12-13</t>
  </si>
  <si>
    <t>LOT92393</t>
  </si>
  <si>
    <t>VEND-233</t>
  </si>
  <si>
    <t>P225</t>
  </si>
  <si>
    <t>A44-5</t>
  </si>
  <si>
    <t>LOT17897</t>
  </si>
  <si>
    <t>VEND-909</t>
  </si>
  <si>
    <t>P840</t>
  </si>
  <si>
    <t>A38-8</t>
  </si>
  <si>
    <t>LOT83263</t>
  </si>
  <si>
    <t>VEND-272</t>
  </si>
  <si>
    <t>P1030</t>
  </si>
  <si>
    <t>B37-9</t>
  </si>
  <si>
    <t>LOT32762</t>
  </si>
  <si>
    <t>P452</t>
  </si>
  <si>
    <t>A14-17</t>
  </si>
  <si>
    <t>LOT81572</t>
  </si>
  <si>
    <t>VEND-992</t>
  </si>
  <si>
    <t>P679</t>
  </si>
  <si>
    <t>C42-1</t>
  </si>
  <si>
    <t>LOT88669</t>
  </si>
  <si>
    <t>VEND-172</t>
  </si>
  <si>
    <t>P926</t>
  </si>
  <si>
    <t>LOT53048</t>
  </si>
  <si>
    <t>VEND-619</t>
  </si>
  <si>
    <t>P1092</t>
  </si>
  <si>
    <t>D11-17</t>
  </si>
  <si>
    <t>LOT87304</t>
  </si>
  <si>
    <t>VEND-956</t>
  </si>
  <si>
    <t>P120</t>
  </si>
  <si>
    <t>A18-12</t>
  </si>
  <si>
    <t>LOT42405</t>
  </si>
  <si>
    <t>VEND-301</t>
  </si>
  <si>
    <t>P823</t>
  </si>
  <si>
    <t>A22-14</t>
  </si>
  <si>
    <t>LOT12916</t>
  </si>
  <si>
    <t>VEND-589</t>
  </si>
  <si>
    <t>P217</t>
  </si>
  <si>
    <t>C19-7</t>
  </si>
  <si>
    <t>LOT64069</t>
  </si>
  <si>
    <t>VEND-283</t>
  </si>
  <si>
    <t>P888</t>
  </si>
  <si>
    <t>C37-8</t>
  </si>
  <si>
    <t>LOT11281</t>
  </si>
  <si>
    <t>VEND-610</t>
  </si>
  <si>
    <t>P212</t>
  </si>
  <si>
    <t>D37-1</t>
  </si>
  <si>
    <t>LOT65004</t>
  </si>
  <si>
    <t>VEND-891</t>
  </si>
  <si>
    <t>P497</t>
  </si>
  <si>
    <t>B47-10</t>
  </si>
  <si>
    <t>LOT96796</t>
  </si>
  <si>
    <t>VEND-236</t>
  </si>
  <si>
    <t>P333</t>
  </si>
  <si>
    <t>D04-05</t>
  </si>
  <si>
    <t>LOTSTL04</t>
  </si>
  <si>
    <t>P2004</t>
  </si>
  <si>
    <t>D14-04</t>
  </si>
  <si>
    <t>LOTDAL04</t>
  </si>
  <si>
    <t>VEND-107</t>
  </si>
  <si>
    <t>P2014</t>
  </si>
  <si>
    <t>D24-04</t>
  </si>
  <si>
    <t>LOTWOO04</t>
  </si>
  <si>
    <t>VEND-111</t>
  </si>
  <si>
    <t>P2024</t>
  </si>
  <si>
    <t>ZCFET-SS-XL-BO</t>
  </si>
  <si>
    <t>B21-18</t>
  </si>
  <si>
    <t>LOT18733</t>
  </si>
  <si>
    <t>VEND-692</t>
  </si>
  <si>
    <t>P254</t>
  </si>
  <si>
    <t>B47-3</t>
  </si>
  <si>
    <t>LOT71873</t>
  </si>
  <si>
    <t>VEND-939</t>
  </si>
  <si>
    <t>P675</t>
  </si>
  <si>
    <t>D13-1</t>
  </si>
  <si>
    <t>LOT55428</t>
  </si>
  <si>
    <t>VEND-212</t>
  </si>
  <si>
    <t>P963</t>
  </si>
  <si>
    <t>D22-5</t>
  </si>
  <si>
    <t>LOT41340</t>
  </si>
  <si>
    <t>VEND-810</t>
  </si>
  <si>
    <t>A34-4</t>
  </si>
  <si>
    <t>LOT89074</t>
  </si>
  <si>
    <t>B42-5</t>
  </si>
  <si>
    <t>LOT71231</t>
  </si>
  <si>
    <t>B41-1</t>
  </si>
  <si>
    <t>LOT15234</t>
  </si>
  <si>
    <t>VEND-136</t>
  </si>
  <si>
    <t>C50-2</t>
  </si>
  <si>
    <t>LOT62678</t>
  </si>
  <si>
    <t>VEND-636</t>
  </si>
  <si>
    <t>C41-15</t>
  </si>
  <si>
    <t>LOT99719</t>
  </si>
  <si>
    <t>VEND-533</t>
  </si>
  <si>
    <t>D46-4</t>
  </si>
  <si>
    <t>LOT42197</t>
  </si>
  <si>
    <t>VEND-265</t>
  </si>
  <si>
    <t>P986</t>
  </si>
  <si>
    <t>D54-15</t>
  </si>
  <si>
    <t>LOT70066</t>
  </si>
  <si>
    <t>VEND-208</t>
  </si>
  <si>
    <t>P326</t>
  </si>
  <si>
    <t>C52-7</t>
  </si>
  <si>
    <t>LOT56121</t>
  </si>
  <si>
    <t>VEND-769</t>
  </si>
  <si>
    <t>P398</t>
  </si>
  <si>
    <t>C22-17</t>
  </si>
  <si>
    <t>LOT69628</t>
  </si>
  <si>
    <t>VEND-686</t>
  </si>
  <si>
    <t>P1073</t>
  </si>
  <si>
    <t>C34-13</t>
  </si>
  <si>
    <t>LOT41609</t>
  </si>
  <si>
    <t>P1007</t>
  </si>
  <si>
    <t>C12-11</t>
  </si>
  <si>
    <t>LOT58389</t>
  </si>
  <si>
    <t>VEND-371</t>
  </si>
  <si>
    <t>P803</t>
  </si>
  <si>
    <t>C48-2</t>
  </si>
  <si>
    <t>LOT37243</t>
  </si>
  <si>
    <t>VEND-815</t>
  </si>
  <si>
    <t>P597</t>
  </si>
  <si>
    <t>A21-9</t>
  </si>
  <si>
    <t>LOT45700</t>
  </si>
  <si>
    <t>VEND-788</t>
  </si>
  <si>
    <t>P378</t>
  </si>
  <si>
    <t>ZCFET-SS-XL-O</t>
  </si>
  <si>
    <t>LOT11479</t>
  </si>
  <si>
    <t>VEND-584</t>
  </si>
  <si>
    <t>P456</t>
  </si>
  <si>
    <t>C48-19</t>
  </si>
  <si>
    <t>LOT96444</t>
  </si>
  <si>
    <t>VEND-329</t>
  </si>
  <si>
    <t>P483</t>
  </si>
  <si>
    <t>A32-16</t>
  </si>
  <si>
    <t>LOT36855</t>
  </si>
  <si>
    <t>P183</t>
  </si>
  <si>
    <t>C55-5</t>
  </si>
  <si>
    <t>LOT16046</t>
  </si>
  <si>
    <t>VEND-776</t>
  </si>
  <si>
    <t>P188</t>
  </si>
  <si>
    <t>A31-18</t>
  </si>
  <si>
    <t>LOT61226</t>
  </si>
  <si>
    <t>VEND-443</t>
  </si>
  <si>
    <t>B25-12</t>
  </si>
  <si>
    <t>LOT39811</t>
  </si>
  <si>
    <t>P403</t>
  </si>
  <si>
    <t>D50-19</t>
  </si>
  <si>
    <t>LOT76612</t>
  </si>
  <si>
    <t>VEND-957</t>
  </si>
  <si>
    <t>D23-6</t>
  </si>
  <si>
    <t>LOT89242</t>
  </si>
  <si>
    <t>P155</t>
  </si>
  <si>
    <t>D16-2</t>
  </si>
  <si>
    <t>LOT91078</t>
  </si>
  <si>
    <t>VEND-807</t>
  </si>
  <si>
    <t>D16-8</t>
  </si>
  <si>
    <t>LOT69788</t>
  </si>
  <si>
    <t>VEND-229</t>
  </si>
  <si>
    <t>P292</t>
  </si>
  <si>
    <t>A29-1</t>
  </si>
  <si>
    <t>LOT97298</t>
  </si>
  <si>
    <t>VEND-733</t>
  </si>
  <si>
    <t>D10-14</t>
  </si>
  <si>
    <t>LOT73794</t>
  </si>
  <si>
    <t>VEND-347</t>
  </si>
  <si>
    <t>P154</t>
  </si>
  <si>
    <t>B30-14</t>
  </si>
  <si>
    <t>LOT19780</t>
  </si>
  <si>
    <t>VEND-857</t>
  </si>
  <si>
    <t>P507</t>
  </si>
  <si>
    <t>D13-12</t>
  </si>
  <si>
    <t>LOT74892</t>
  </si>
  <si>
    <t>VEND-542</t>
  </si>
  <si>
    <t>P902</t>
  </si>
  <si>
    <t>D20-10</t>
  </si>
  <si>
    <t>LOT96323</t>
  </si>
  <si>
    <t>VEND-897</t>
  </si>
  <si>
    <t>P916</t>
  </si>
  <si>
    <t>ZCFPT-SS-E-C</t>
  </si>
  <si>
    <t>ZavaCore Field Premium Tee</t>
  </si>
  <si>
    <t>Charcoal</t>
  </si>
  <si>
    <t>X14-11</t>
  </si>
  <si>
    <t>LOTPRE849</t>
  </si>
  <si>
    <t>VEND-929</t>
  </si>
  <si>
    <t>P981</t>
  </si>
  <si>
    <t>X46-9</t>
  </si>
  <si>
    <t>LOTPRE824</t>
  </si>
  <si>
    <t>VEND-344</t>
  </si>
  <si>
    <t>P742</t>
  </si>
  <si>
    <t>X63-15</t>
  </si>
  <si>
    <t>LOTPRE379</t>
  </si>
  <si>
    <t>VEND-863</t>
  </si>
  <si>
    <t>P476</t>
  </si>
  <si>
    <t>ZCFPT-SS-E-F</t>
  </si>
  <si>
    <t>Forest Green</t>
  </si>
  <si>
    <t>X69-9</t>
  </si>
  <si>
    <t>LOTPRE586</t>
  </si>
  <si>
    <t>VEND-880</t>
  </si>
  <si>
    <t>P950</t>
  </si>
  <si>
    <t>X20-15</t>
  </si>
  <si>
    <t>LOTPRE796</t>
  </si>
  <si>
    <t>P531</t>
  </si>
  <si>
    <t>X36-2</t>
  </si>
  <si>
    <t>LOTPRE182</t>
  </si>
  <si>
    <t>VEND-653</t>
  </si>
  <si>
    <t>P1052</t>
  </si>
  <si>
    <t>ZCFPT-SS-E-N</t>
  </si>
  <si>
    <t>Navy</t>
  </si>
  <si>
    <t>X13-20</t>
  </si>
  <si>
    <t>LOTPRE755</t>
  </si>
  <si>
    <t>VEND-849</t>
  </si>
  <si>
    <t>P285</t>
  </si>
  <si>
    <t>X17-10</t>
  </si>
  <si>
    <t>LOTPRE399</t>
  </si>
  <si>
    <t>VEND-131</t>
  </si>
  <si>
    <t>P989</t>
  </si>
  <si>
    <t>X53-18</t>
  </si>
  <si>
    <t>LOTPRE430</t>
  </si>
  <si>
    <t>VEND-449</t>
  </si>
  <si>
    <t>ZCFPT-SS-E-R</t>
  </si>
  <si>
    <t>Red</t>
  </si>
  <si>
    <t>X62-16</t>
  </si>
  <si>
    <t>LOTPRE231</t>
  </si>
  <si>
    <t>VEND-440</t>
  </si>
  <si>
    <t>P656</t>
  </si>
  <si>
    <t>X15-17</t>
  </si>
  <si>
    <t>LOTPRE220</t>
  </si>
  <si>
    <t>VEND-112</t>
  </si>
  <si>
    <t>P382</t>
  </si>
  <si>
    <t>X20-11</t>
  </si>
  <si>
    <t>LOTPRE304</t>
  </si>
  <si>
    <t>VEND-225</t>
  </si>
  <si>
    <t>ZCFPT-SS-E-W</t>
  </si>
  <si>
    <t>White</t>
  </si>
  <si>
    <t>X66-1</t>
  </si>
  <si>
    <t>LOTPRE657</t>
  </si>
  <si>
    <t>VEND-426</t>
  </si>
  <si>
    <t>X52-6</t>
  </si>
  <si>
    <t>LOTPRE667</t>
  </si>
  <si>
    <t>VEND-666</t>
  </si>
  <si>
    <t>P563</t>
  </si>
  <si>
    <t>X67-4</t>
  </si>
  <si>
    <t>LOTPRE498</t>
  </si>
  <si>
    <t>VEND-884</t>
  </si>
  <si>
    <t>P520</t>
  </si>
  <si>
    <t>ZCFPT-SS-L-B</t>
  </si>
  <si>
    <t>B27-14</t>
  </si>
  <si>
    <t>LOT18735</t>
  </si>
  <si>
    <t>VEND-587</t>
  </si>
  <si>
    <t>P277</t>
  </si>
  <si>
    <t>B41-10</t>
  </si>
  <si>
    <t>LOT46814</t>
  </si>
  <si>
    <t>VEND-335</t>
  </si>
  <si>
    <t>P303</t>
  </si>
  <si>
    <t>C55-4</t>
  </si>
  <si>
    <t>LOT31722</t>
  </si>
  <si>
    <t>VEND-528</t>
  </si>
  <si>
    <t>P760</t>
  </si>
  <si>
    <t>B39-5</t>
  </si>
  <si>
    <t>LOT33055</t>
  </si>
  <si>
    <t>VEND-191</t>
  </si>
  <si>
    <t>A35-1</t>
  </si>
  <si>
    <t>LOT14624</t>
  </si>
  <si>
    <t>VEND-859</t>
  </si>
  <si>
    <t>P123</t>
  </si>
  <si>
    <t>D24-20</t>
  </si>
  <si>
    <t>LOT28398</t>
  </si>
  <si>
    <t>A28-16</t>
  </si>
  <si>
    <t>LOT43274</t>
  </si>
  <si>
    <t>VEND-387</t>
  </si>
  <si>
    <t>P842</t>
  </si>
  <si>
    <t>C17-5</t>
  </si>
  <si>
    <t>LOT85925</t>
  </si>
  <si>
    <t>VEND-350</t>
  </si>
  <si>
    <t>P1039</t>
  </si>
  <si>
    <t>C25-17</t>
  </si>
  <si>
    <t>LOT81133</t>
  </si>
  <si>
    <t>VEND-363</t>
  </si>
  <si>
    <t>D15-17</t>
  </si>
  <si>
    <t>LOT87335</t>
  </si>
  <si>
    <t>VEND-915</t>
  </si>
  <si>
    <t>P430</t>
  </si>
  <si>
    <t>LOT22351</t>
  </si>
  <si>
    <t>VEND-340</t>
  </si>
  <si>
    <t>P108</t>
  </si>
  <si>
    <t>D24-7</t>
  </si>
  <si>
    <t>LOT40213</t>
  </si>
  <si>
    <t>VEND-115</t>
  </si>
  <si>
    <t>P882</t>
  </si>
  <si>
    <t>A15-12</t>
  </si>
  <si>
    <t>LOT18701</t>
  </si>
  <si>
    <t>VEND-778</t>
  </si>
  <si>
    <t>P626</t>
  </si>
  <si>
    <t>A18-19</t>
  </si>
  <si>
    <t>LOT43622</t>
  </si>
  <si>
    <t>VEND-972</t>
  </si>
  <si>
    <t>P1031</t>
  </si>
  <si>
    <t>B46-5</t>
  </si>
  <si>
    <t>LOT71349</t>
  </si>
  <si>
    <t>VEND-439</t>
  </si>
  <si>
    <t>C55-15</t>
  </si>
  <si>
    <t>LOT63373</t>
  </si>
  <si>
    <t>VEND-598</t>
  </si>
  <si>
    <t>P610</t>
  </si>
  <si>
    <t>D36-19</t>
  </si>
  <si>
    <t>LOT91458</t>
  </si>
  <si>
    <t>VEND-299</t>
  </si>
  <si>
    <t>P1023</t>
  </si>
  <si>
    <t>LOT66474</t>
  </si>
  <si>
    <t>VEND-487</t>
  </si>
  <si>
    <t>P274</t>
  </si>
  <si>
    <t>ZCFPT-SS-L-BO</t>
  </si>
  <si>
    <t>C55-10</t>
  </si>
  <si>
    <t>LOT42150</t>
  </si>
  <si>
    <t>VEND-862</t>
  </si>
  <si>
    <t>P300</t>
  </si>
  <si>
    <t>D12-12</t>
  </si>
  <si>
    <t>LOT60185</t>
  </si>
  <si>
    <t>VEND-861</t>
  </si>
  <si>
    <t>P855</t>
  </si>
  <si>
    <t>C27-15</t>
  </si>
  <si>
    <t>LOT63129</t>
  </si>
  <si>
    <t>P404</t>
  </si>
  <si>
    <t>LOT83498</t>
  </si>
  <si>
    <t>VEND-808</t>
  </si>
  <si>
    <t>P1000</t>
  </si>
  <si>
    <t>LOT68356</t>
  </si>
  <si>
    <t>VEND-462</t>
  </si>
  <si>
    <t>C26-5</t>
  </si>
  <si>
    <t>LOT96355</t>
  </si>
  <si>
    <t>VEND-935</t>
  </si>
  <si>
    <t>P1079</t>
  </si>
  <si>
    <t>D50-5</t>
  </si>
  <si>
    <t>LOT13586</t>
  </si>
  <si>
    <t>VEND-883</t>
  </si>
  <si>
    <t>P928</t>
  </si>
  <si>
    <t>B18-5</t>
  </si>
  <si>
    <t>LOT51350</t>
  </si>
  <si>
    <t>VEND-635</t>
  </si>
  <si>
    <t>P932</t>
  </si>
  <si>
    <t>C35-1</t>
  </si>
  <si>
    <t>LOT24042</t>
  </si>
  <si>
    <t>VEND-804</t>
  </si>
  <si>
    <t>P174</t>
  </si>
  <si>
    <t>A35-8</t>
  </si>
  <si>
    <t>LOT82359</t>
  </si>
  <si>
    <t>VEND-829</t>
  </si>
  <si>
    <t>P424</t>
  </si>
  <si>
    <t>D17-9</t>
  </si>
  <si>
    <t>LOT58340</t>
  </si>
  <si>
    <t>P249</t>
  </si>
  <si>
    <t>ZCFPT-SS-L-C</t>
  </si>
  <si>
    <t>X66-6</t>
  </si>
  <si>
    <t>LOTPRE787</t>
  </si>
  <si>
    <t>VEND-306</t>
  </si>
  <si>
    <t>P1087</t>
  </si>
  <si>
    <t>X24-10</t>
  </si>
  <si>
    <t>LOTPRE825</t>
  </si>
  <si>
    <t>P756</t>
  </si>
  <si>
    <t>X12-11</t>
  </si>
  <si>
    <t>LOTPRE721</t>
  </si>
  <si>
    <t>VEND-698</t>
  </si>
  <si>
    <t>P1008</t>
  </si>
  <si>
    <t>ZCFPT-SS-L-F</t>
  </si>
  <si>
    <t>X28-3</t>
  </si>
  <si>
    <t>LOTPRE352</t>
  </si>
  <si>
    <t>X10-9</t>
  </si>
  <si>
    <t>LOTPRE317</t>
  </si>
  <si>
    <t>P789</t>
  </si>
  <si>
    <t>X27-2</t>
  </si>
  <si>
    <t>LOTPRE829</t>
  </si>
  <si>
    <t>ZCFPT-SS-L-N</t>
  </si>
  <si>
    <t>X63-14</t>
  </si>
  <si>
    <t>LOTPRE418</t>
  </si>
  <si>
    <t>VEND-590</t>
  </si>
  <si>
    <t>X40-8</t>
  </si>
  <si>
    <t>LOTPRE510</t>
  </si>
  <si>
    <t>VEND-196</t>
  </si>
  <si>
    <t>P654</t>
  </si>
  <si>
    <t>X49-16</t>
  </si>
  <si>
    <t>LOTPRE695</t>
  </si>
  <si>
    <t>VEND-546</t>
  </si>
  <si>
    <t>P1063</t>
  </si>
  <si>
    <t>ZCFPT-SS-L-O</t>
  </si>
  <si>
    <t>A37-7</t>
  </si>
  <si>
    <t>LOT49788</t>
  </si>
  <si>
    <t>VEND-999</t>
  </si>
  <si>
    <t>P113</t>
  </si>
  <si>
    <t>A23-16</t>
  </si>
  <si>
    <t>LOT24110</t>
  </si>
  <si>
    <t>VEND-275</t>
  </si>
  <si>
    <t>P134</t>
  </si>
  <si>
    <t>A18-2</t>
  </si>
  <si>
    <t>LOT62342</t>
  </si>
  <si>
    <t>P934</t>
  </si>
  <si>
    <t>A38-17</t>
  </si>
  <si>
    <t>LOT22385</t>
  </si>
  <si>
    <t>VEND-146</t>
  </si>
  <si>
    <t>P1022</t>
  </si>
  <si>
    <t>C53-20</t>
  </si>
  <si>
    <t>LOT53994</t>
  </si>
  <si>
    <t>VEND-994</t>
  </si>
  <si>
    <t>P101</t>
  </si>
  <si>
    <t>B41-2</t>
  </si>
  <si>
    <t>LOT39617</t>
  </si>
  <si>
    <t>VEND-606</t>
  </si>
  <si>
    <t>P239</t>
  </si>
  <si>
    <t>B24-18</t>
  </si>
  <si>
    <t>LOT46569</t>
  </si>
  <si>
    <t>VEND-920</t>
  </si>
  <si>
    <t>P165</t>
  </si>
  <si>
    <t>B36-13</t>
  </si>
  <si>
    <t>LOT83961</t>
  </si>
  <si>
    <t>VEND-842</t>
  </si>
  <si>
    <t>P167</t>
  </si>
  <si>
    <t>B24-12</t>
  </si>
  <si>
    <t>LOT47346</t>
  </si>
  <si>
    <t>VEND-975</t>
  </si>
  <si>
    <t>P498</t>
  </si>
  <si>
    <t>D34-11</t>
  </si>
  <si>
    <t>LOT83224</t>
  </si>
  <si>
    <t>VEND-647</t>
  </si>
  <si>
    <t>P825</t>
  </si>
  <si>
    <t>C50-11</t>
  </si>
  <si>
    <t>LOT14361</t>
  </si>
  <si>
    <t>ZCFPT-SS-L-R</t>
  </si>
  <si>
    <t>X18-19</t>
  </si>
  <si>
    <t>LOTPRE263</t>
  </si>
  <si>
    <t>P877</t>
  </si>
  <si>
    <t>X17-7</t>
  </si>
  <si>
    <t>LOTPRE264</t>
  </si>
  <si>
    <t>P502</t>
  </si>
  <si>
    <t>X28-10</t>
  </si>
  <si>
    <t>LOTPRE205</t>
  </si>
  <si>
    <t>VEND-279</t>
  </si>
  <si>
    <t>P768</t>
  </si>
  <si>
    <t>ZCFPT-SS-L-W</t>
  </si>
  <si>
    <t>X16-14</t>
  </si>
  <si>
    <t>LOTPRE880</t>
  </si>
  <si>
    <t>P306</t>
  </si>
  <si>
    <t>X38-9</t>
  </si>
  <si>
    <t>LOTPRE731</t>
  </si>
  <si>
    <t>VEND-382</t>
  </si>
  <si>
    <t>P473</t>
  </si>
  <si>
    <t>X24-13</t>
  </si>
  <si>
    <t>LOTPRE353</t>
  </si>
  <si>
    <t>VEND-489</t>
  </si>
  <si>
    <t>P226</t>
  </si>
  <si>
    <t>ZCFPT-SS-M-B</t>
  </si>
  <si>
    <t>D17-19</t>
  </si>
  <si>
    <t>LOT39216</t>
  </si>
  <si>
    <t>VEND-683</t>
  </si>
  <si>
    <t>P744</t>
  </si>
  <si>
    <t>A32-7</t>
  </si>
  <si>
    <t>LOT29870</t>
  </si>
  <si>
    <t>P853</t>
  </si>
  <si>
    <t>D47-19</t>
  </si>
  <si>
    <t>LOT58134</t>
  </si>
  <si>
    <t>VEND-756</t>
  </si>
  <si>
    <t>P590</t>
  </si>
  <si>
    <t>A37-14</t>
  </si>
  <si>
    <t>LOT10052</t>
  </si>
  <si>
    <t>C39-4</t>
  </si>
  <si>
    <t>LOT77196</t>
  </si>
  <si>
    <t>VEND-734</t>
  </si>
  <si>
    <t>B51-17</t>
  </si>
  <si>
    <t>LOT68917</t>
  </si>
  <si>
    <t>VEND-985</t>
  </si>
  <si>
    <t>D45-6</t>
  </si>
  <si>
    <t>LOT89536</t>
  </si>
  <si>
    <t>VEND-486</t>
  </si>
  <si>
    <t>P162</t>
  </si>
  <si>
    <t>B24-2</t>
  </si>
  <si>
    <t>LOT67373</t>
  </si>
  <si>
    <t>VEND-298</t>
  </si>
  <si>
    <t>P857</t>
  </si>
  <si>
    <t>B23-8</t>
  </si>
  <si>
    <t>LOT62844</t>
  </si>
  <si>
    <t>VEND-591</t>
  </si>
  <si>
    <t>P392</t>
  </si>
  <si>
    <t>D27-19</t>
  </si>
  <si>
    <t>LOT36442</t>
  </si>
  <si>
    <t>C31-16</t>
  </si>
  <si>
    <t>LOT56975</t>
  </si>
  <si>
    <t>VEND-423</t>
  </si>
  <si>
    <t>P684</t>
  </si>
  <si>
    <t>B46-3</t>
  </si>
  <si>
    <t>LOT71608</t>
  </si>
  <si>
    <t>VEND-160</t>
  </si>
  <si>
    <t>P960</t>
  </si>
  <si>
    <t>B37-15</t>
  </si>
  <si>
    <t>LOT31954</t>
  </si>
  <si>
    <t>VEND-527</t>
  </si>
  <si>
    <t>ZCFPT-SS-M-BO</t>
  </si>
  <si>
    <t>B59-4</t>
  </si>
  <si>
    <t>LOT18049</t>
  </si>
  <si>
    <t>VEND-176</t>
  </si>
  <si>
    <t>P862</t>
  </si>
  <si>
    <t>C54-1</t>
  </si>
  <si>
    <t>LOT34884</t>
  </si>
  <si>
    <t>VEND-872</t>
  </si>
  <si>
    <t>P707</t>
  </si>
  <si>
    <t>A56-11</t>
  </si>
  <si>
    <t>LOT29367</t>
  </si>
  <si>
    <t>VEND-502</t>
  </si>
  <si>
    <t>P785</t>
  </si>
  <si>
    <t>B26-14</t>
  </si>
  <si>
    <t>LOT40752</t>
  </si>
  <si>
    <t>VEND-684</t>
  </si>
  <si>
    <t>P145</t>
  </si>
  <si>
    <t>B43-16</t>
  </si>
  <si>
    <t>LOT70644</t>
  </si>
  <si>
    <t>P944</t>
  </si>
  <si>
    <t>A22-18</t>
  </si>
  <si>
    <t>LOT12822</t>
  </si>
  <si>
    <t>VEND-783</t>
  </si>
  <si>
    <t>P774</t>
  </si>
  <si>
    <t>D32-3</t>
  </si>
  <si>
    <t>LOT26624</t>
  </si>
  <si>
    <t>B11-2</t>
  </si>
  <si>
    <t>LOT23363</t>
  </si>
  <si>
    <t>P878</t>
  </si>
  <si>
    <t>D30-10</t>
  </si>
  <si>
    <t>LOT52445</t>
  </si>
  <si>
    <t>P619</t>
  </si>
  <si>
    <t>B46-11</t>
  </si>
  <si>
    <t>LOT90868</t>
  </si>
  <si>
    <t>C17-3</t>
  </si>
  <si>
    <t>LOT70170</t>
  </si>
  <si>
    <t>VEND-604</t>
  </si>
  <si>
    <t>P286</t>
  </si>
  <si>
    <t>C40-10</t>
  </si>
  <si>
    <t>LOT68076</t>
  </si>
  <si>
    <t>P147</t>
  </si>
  <si>
    <t>C28-16</t>
  </si>
  <si>
    <t>LOT53244</t>
  </si>
  <si>
    <t>VEND-390</t>
  </si>
  <si>
    <t>P542</t>
  </si>
  <si>
    <t>B51-2</t>
  </si>
  <si>
    <t>LOT51456</t>
  </si>
  <si>
    <t>ZCFPT-SS-M-C</t>
  </si>
  <si>
    <t>X58-5</t>
  </si>
  <si>
    <t>LOTPRE139</t>
  </si>
  <si>
    <t>VEND-633</t>
  </si>
  <si>
    <t>X24-15</t>
  </si>
  <si>
    <t>LOTPRE438</t>
  </si>
  <si>
    <t>VEND-554</t>
  </si>
  <si>
    <t>P1013</t>
  </si>
  <si>
    <t>X36-13</t>
  </si>
  <si>
    <t>LOTPRE678</t>
  </si>
  <si>
    <t>VEND-716</t>
  </si>
  <si>
    <t>P425</t>
  </si>
  <si>
    <t>ZCFPT-SS-M-F</t>
  </si>
  <si>
    <t>X31-20</t>
  </si>
  <si>
    <t>LOTPRE581</t>
  </si>
  <si>
    <t>VEND-531</t>
  </si>
  <si>
    <t>X24-14</t>
  </si>
  <si>
    <t>LOTPRE511</t>
  </si>
  <si>
    <t>P813</t>
  </si>
  <si>
    <t>X25-14</t>
  </si>
  <si>
    <t>LOTPRE985</t>
  </si>
  <si>
    <t>P976</t>
  </si>
  <si>
    <t>ZCFPT-SS-M-N</t>
  </si>
  <si>
    <t>X64-16</t>
  </si>
  <si>
    <t>LOTPRE859</t>
  </si>
  <si>
    <t>VEND-244</t>
  </si>
  <si>
    <t>P701</t>
  </si>
  <si>
    <t>X29-13</t>
  </si>
  <si>
    <t>LOTPRE938</t>
  </si>
  <si>
    <t>VEND-952</t>
  </si>
  <si>
    <t>P522</t>
  </si>
  <si>
    <t>X14-18</t>
  </si>
  <si>
    <t>VEND-404</t>
  </si>
  <si>
    <t>P432</t>
  </si>
  <si>
    <t>ZCFPT-SS-M-O</t>
  </si>
  <si>
    <t>A28-2</t>
  </si>
  <si>
    <t>LOT75954</t>
  </si>
  <si>
    <t>VEND-667</t>
  </si>
  <si>
    <t>P672</t>
  </si>
  <si>
    <t>A52-2</t>
  </si>
  <si>
    <t>LOT77652</t>
  </si>
  <si>
    <t>P571</t>
  </si>
  <si>
    <t>A42-16</t>
  </si>
  <si>
    <t>LOT54704</t>
  </si>
  <si>
    <t>D56-2</t>
  </si>
  <si>
    <t>LOT85026</t>
  </si>
  <si>
    <t>VEND-774</t>
  </si>
  <si>
    <t>P765</t>
  </si>
  <si>
    <t>B39-20</t>
  </si>
  <si>
    <t>LOT19395</t>
  </si>
  <si>
    <t>P358</t>
  </si>
  <si>
    <t>C12-17</t>
  </si>
  <si>
    <t>LOT19954</t>
  </si>
  <si>
    <t>VEND-864</t>
  </si>
  <si>
    <t>B40-2</t>
  </si>
  <si>
    <t>LOT45228</t>
  </si>
  <si>
    <t>VEND-544</t>
  </si>
  <si>
    <t>C22-4</t>
  </si>
  <si>
    <t>LOT48715</t>
  </si>
  <si>
    <t>VEND-693</t>
  </si>
  <si>
    <t>P821</t>
  </si>
  <si>
    <t>D31-17</t>
  </si>
  <si>
    <t>LOT39824</t>
  </si>
  <si>
    <t>VEND-611</t>
  </si>
  <si>
    <t>P727</t>
  </si>
  <si>
    <t>D10-11</t>
  </si>
  <si>
    <t>LOT98501</t>
  </si>
  <si>
    <t>C46-2</t>
  </si>
  <si>
    <t>LOT32461</t>
  </si>
  <si>
    <t>VEND-870</t>
  </si>
  <si>
    <t>B36-19</t>
  </si>
  <si>
    <t>LOT20760</t>
  </si>
  <si>
    <t>VEND-694</t>
  </si>
  <si>
    <t>P680</t>
  </si>
  <si>
    <t>C36-4</t>
  </si>
  <si>
    <t>LOT18028</t>
  </si>
  <si>
    <t>P715</t>
  </si>
  <si>
    <t>B36-11</t>
  </si>
  <si>
    <t>LOT82361</t>
  </si>
  <si>
    <t>VEND-114</t>
  </si>
  <si>
    <t>ZCFPT-SS-M-R</t>
  </si>
  <si>
    <t>X63-6</t>
  </si>
  <si>
    <t>LOTPRE360</t>
  </si>
  <si>
    <t>VEND-563</t>
  </si>
  <si>
    <t>P729</t>
  </si>
  <si>
    <t>X54-2</t>
  </si>
  <si>
    <t>LOTPRE461</t>
  </si>
  <si>
    <t>P886</t>
  </si>
  <si>
    <t>X30-12</t>
  </si>
  <si>
    <t>LOTPRE595</t>
  </si>
  <si>
    <t>P1068</t>
  </si>
  <si>
    <t>ZCFPT-SS-M-W</t>
  </si>
  <si>
    <t>X62-20</t>
  </si>
  <si>
    <t>LOTPRE555</t>
  </si>
  <si>
    <t>P418</t>
  </si>
  <si>
    <t>X39-10</t>
  </si>
  <si>
    <t>LOTPRE521</t>
  </si>
  <si>
    <t>VEND-461</t>
  </si>
  <si>
    <t>P578</t>
  </si>
  <si>
    <t>X18-5</t>
  </si>
  <si>
    <t>LOTPRE389</t>
  </si>
  <si>
    <t>VEND-581</t>
  </si>
  <si>
    <t>P639</t>
  </si>
  <si>
    <t>ZCFPT-SS-S-B</t>
  </si>
  <si>
    <t>D46-17</t>
  </si>
  <si>
    <t>LOT36447</t>
  </si>
  <si>
    <t>VEND-125</t>
  </si>
  <si>
    <t>P750</t>
  </si>
  <si>
    <t>D27-5</t>
  </si>
  <si>
    <t>LOT90095</t>
  </si>
  <si>
    <t>VEND-986</t>
  </si>
  <si>
    <t>P667</t>
  </si>
  <si>
    <t>B39-15</t>
  </si>
  <si>
    <t>LOT44209</t>
  </si>
  <si>
    <t>D28-3</t>
  </si>
  <si>
    <t>LOT80203</t>
  </si>
  <si>
    <t>P956</t>
  </si>
  <si>
    <t>A14-12</t>
  </si>
  <si>
    <t>LOT27829</t>
  </si>
  <si>
    <t>P778</t>
  </si>
  <si>
    <t>C25-2</t>
  </si>
  <si>
    <t>LOT11999</t>
  </si>
  <si>
    <t>VEND-792</t>
  </si>
  <si>
    <t>P362</t>
  </si>
  <si>
    <t>D43-4</t>
  </si>
  <si>
    <t>LOT77821</t>
  </si>
  <si>
    <t>VEND-715</t>
  </si>
  <si>
    <t>P1059</t>
  </si>
  <si>
    <t>LOT92035</t>
  </si>
  <si>
    <t>VEND-717</t>
  </si>
  <si>
    <t>A28-11</t>
  </si>
  <si>
    <t>LOT17864</t>
  </si>
  <si>
    <t>VEND-187</t>
  </si>
  <si>
    <t>P240</t>
  </si>
  <si>
    <t>D31-9</t>
  </si>
  <si>
    <t>LOT98720</t>
  </si>
  <si>
    <t>P1027</t>
  </si>
  <si>
    <t>C12-3</t>
  </si>
  <si>
    <t>LOT18977</t>
  </si>
  <si>
    <t>VEND-379</t>
  </si>
  <si>
    <t>P443</t>
  </si>
  <si>
    <t>C14-20</t>
  </si>
  <si>
    <t>LOT83206</t>
  </si>
  <si>
    <t>P705</t>
  </si>
  <si>
    <t>D16-12</t>
  </si>
  <si>
    <t>LOT84656</t>
  </si>
  <si>
    <t>P1082</t>
  </si>
  <si>
    <t>B13-14</t>
  </si>
  <si>
    <t>LOT99936</t>
  </si>
  <si>
    <t>VEND-867</t>
  </si>
  <si>
    <t>A16-9</t>
  </si>
  <si>
    <t>LOT15926</t>
  </si>
  <si>
    <t>VEND-613</t>
  </si>
  <si>
    <t>C38-17</t>
  </si>
  <si>
    <t>LOT38222</t>
  </si>
  <si>
    <t>VEND-607</t>
  </si>
  <si>
    <t>C16-13</t>
  </si>
  <si>
    <t>LOT43385</t>
  </si>
  <si>
    <t>VEND-391</t>
  </si>
  <si>
    <t>D42-5</t>
  </si>
  <si>
    <t>LOT53775</t>
  </si>
  <si>
    <t>VEND-800</t>
  </si>
  <si>
    <t>P100</t>
  </si>
  <si>
    <t>A45-2</t>
  </si>
  <si>
    <t>LOT12287</t>
  </si>
  <si>
    <t>P899</t>
  </si>
  <si>
    <t>A28-7</t>
  </si>
  <si>
    <t>LOT91982</t>
  </si>
  <si>
    <t>P817</t>
  </si>
  <si>
    <t>ZCFPT-SS-S-BO</t>
  </si>
  <si>
    <t>A38-14</t>
  </si>
  <si>
    <t>LOT41676</t>
  </si>
  <si>
    <t>VEND-179</t>
  </si>
  <si>
    <t>P529</t>
  </si>
  <si>
    <t>LOT34762</t>
  </si>
  <si>
    <t>VEND-324</t>
  </si>
  <si>
    <t>P749</t>
  </si>
  <si>
    <t>B39-12</t>
  </si>
  <si>
    <t>LOT13524</t>
  </si>
  <si>
    <t>P919</t>
  </si>
  <si>
    <t>D59-4</t>
  </si>
  <si>
    <t>LOT75392</t>
  </si>
  <si>
    <t>P1036</t>
  </si>
  <si>
    <t>B32-12</t>
  </si>
  <si>
    <t>LOT32210</t>
  </si>
  <si>
    <t>VEND-892</t>
  </si>
  <si>
    <t>D31-4</t>
  </si>
  <si>
    <t>LOT21604</t>
  </si>
  <si>
    <t>VEND-217</t>
  </si>
  <si>
    <t>A15-20</t>
  </si>
  <si>
    <t>LOT37881</t>
  </si>
  <si>
    <t>VEND-959</t>
  </si>
  <si>
    <t>P801</t>
  </si>
  <si>
    <t>D45-4</t>
  </si>
  <si>
    <t>LOT37996</t>
  </si>
  <si>
    <t>P720</t>
  </si>
  <si>
    <t>D34-15</t>
  </si>
  <si>
    <t>LOT83134</t>
  </si>
  <si>
    <t>VEND-886</t>
  </si>
  <si>
    <t>P581</t>
  </si>
  <si>
    <t>A44-17</t>
  </si>
  <si>
    <t>LOT86627</t>
  </si>
  <si>
    <t>P904</t>
  </si>
  <si>
    <t>C30-6</t>
  </si>
  <si>
    <t>LOT19842</t>
  </si>
  <si>
    <t>P880</t>
  </si>
  <si>
    <t>A22-8</t>
  </si>
  <si>
    <t>LOT17998</t>
  </si>
  <si>
    <t>VEND-454</t>
  </si>
  <si>
    <t>P830</t>
  </si>
  <si>
    <t>C54-9</t>
  </si>
  <si>
    <t>LOT21359</t>
  </si>
  <si>
    <t>VEND-322</t>
  </si>
  <si>
    <t>P161</t>
  </si>
  <si>
    <t>D25-18</t>
  </si>
  <si>
    <t>LOT54366</t>
  </si>
  <si>
    <t>VEND-944</t>
  </si>
  <si>
    <t>P187</t>
  </si>
  <si>
    <t>ZCFPT-SS-S-C</t>
  </si>
  <si>
    <t>X35-6</t>
  </si>
  <si>
    <t>LOTPRE200</t>
  </si>
  <si>
    <t>VEND-123</t>
  </si>
  <si>
    <t>P551</t>
  </si>
  <si>
    <t>X57-10</t>
  </si>
  <si>
    <t>LOTPRE585</t>
  </si>
  <si>
    <t>X29-14</t>
  </si>
  <si>
    <t>LOTPRE314</t>
  </si>
  <si>
    <t>VEND-917</t>
  </si>
  <si>
    <t>ZCFPT-SS-S-F</t>
  </si>
  <si>
    <t>X12-9</t>
  </si>
  <si>
    <t>LOTPRE230</t>
  </si>
  <si>
    <t>VEND-687</t>
  </si>
  <si>
    <t>P936</t>
  </si>
  <si>
    <t>LOTPRE518</t>
  </si>
  <si>
    <t>P390</t>
  </si>
  <si>
    <t>X52-9</t>
  </si>
  <si>
    <t>LOTPRE358</t>
  </si>
  <si>
    <t>VEND-246</t>
  </si>
  <si>
    <t>P712</t>
  </si>
  <si>
    <t>ZCFPT-SS-S-N</t>
  </si>
  <si>
    <t>X52-19</t>
  </si>
  <si>
    <t>LOTPRE583</t>
  </si>
  <si>
    <t>VEND-983</t>
  </si>
  <si>
    <t>X48-13</t>
  </si>
  <si>
    <t>LOTPRE289</t>
  </si>
  <si>
    <t>VEND-989</t>
  </si>
  <si>
    <t>X56-16</t>
  </si>
  <si>
    <t>LOTPRE225</t>
  </si>
  <si>
    <t>VEND-644</t>
  </si>
  <si>
    <t>P681</t>
  </si>
  <si>
    <t>ZCFPT-SS-S-O</t>
  </si>
  <si>
    <t>A49-17</t>
  </si>
  <si>
    <t>LOT99981</t>
  </si>
  <si>
    <t>VEND-174</t>
  </si>
  <si>
    <t>C17-8</t>
  </si>
  <si>
    <t>LOT21004</t>
  </si>
  <si>
    <t>VEND-540</t>
  </si>
  <si>
    <t>B17-8</t>
  </si>
  <si>
    <t>LOT25967</t>
  </si>
  <si>
    <t>P521</t>
  </si>
  <si>
    <t>C34-14</t>
  </si>
  <si>
    <t>LOT17206</t>
  </si>
  <si>
    <t>VEND-195</t>
  </si>
  <si>
    <t>P129</t>
  </si>
  <si>
    <t>C20-20</t>
  </si>
  <si>
    <t>LOT70744</t>
  </si>
  <si>
    <t>VEND-772</t>
  </si>
  <si>
    <t>P618</t>
  </si>
  <si>
    <t>C43-6</t>
  </si>
  <si>
    <t>LOT47271</t>
  </si>
  <si>
    <t>VEND-748</t>
  </si>
  <si>
    <t>P130</t>
  </si>
  <si>
    <t>LOT24491</t>
  </si>
  <si>
    <t>VEND-119</t>
  </si>
  <si>
    <t>P368</t>
  </si>
  <si>
    <t>C14-18</t>
  </si>
  <si>
    <t>LOT45221</t>
  </si>
  <si>
    <t>VEND-690</t>
  </si>
  <si>
    <t>A29-10</t>
  </si>
  <si>
    <t>LOT84080</t>
  </si>
  <si>
    <t>VEND-927</t>
  </si>
  <si>
    <t>P1089</t>
  </si>
  <si>
    <t>A48-4</t>
  </si>
  <si>
    <t>LOT53325</t>
  </si>
  <si>
    <t>D45-2</t>
  </si>
  <si>
    <t>LOT30179</t>
  </si>
  <si>
    <t>P359</t>
  </si>
  <si>
    <t>A42-4</t>
  </si>
  <si>
    <t>LOT90250</t>
  </si>
  <si>
    <t>VEND-835</t>
  </si>
  <si>
    <t>P702</t>
  </si>
  <si>
    <t>A30-3</t>
  </si>
  <si>
    <t>LOT84990</t>
  </si>
  <si>
    <t>ZCFPT-SS-S-R</t>
  </si>
  <si>
    <t>X30-16</t>
  </si>
  <si>
    <t>LOTPRE502</t>
  </si>
  <si>
    <t>VEND-762</t>
  </si>
  <si>
    <t>X16-3</t>
  </si>
  <si>
    <t>LOTPRE457</t>
  </si>
  <si>
    <t>VEND-679</t>
  </si>
  <si>
    <t>P278</t>
  </si>
  <si>
    <t>X13-6</t>
  </si>
  <si>
    <t>LOTPRE926</t>
  </si>
  <si>
    <t>P955</t>
  </si>
  <si>
    <t>ZCFPT-SS-S-W</t>
  </si>
  <si>
    <t>X43-9</t>
  </si>
  <si>
    <t>LOTPRE163</t>
  </si>
  <si>
    <t>VEND-677</t>
  </si>
  <si>
    <t>P1093</t>
  </si>
  <si>
    <t>X55-7</t>
  </si>
  <si>
    <t>LOTPRE108</t>
  </si>
  <si>
    <t>VEND-998</t>
  </si>
  <si>
    <t>X15-8</t>
  </si>
  <si>
    <t>LOTPRE390</t>
  </si>
  <si>
    <t>VEND-466</t>
  </si>
  <si>
    <t>ZCFPT-SS-XL-B</t>
  </si>
  <si>
    <t>A13-18</t>
  </si>
  <si>
    <t>LOT53970</t>
  </si>
  <si>
    <t>VEND-736</t>
  </si>
  <si>
    <t>P913</t>
  </si>
  <si>
    <t>B46-17</t>
  </si>
  <si>
    <t>LOT43996</t>
  </si>
  <si>
    <t>VEND-585</t>
  </si>
  <si>
    <t>P958</t>
  </si>
  <si>
    <t>A46-10</t>
  </si>
  <si>
    <t>LOT90992</t>
  </si>
  <si>
    <t>VEND-292</t>
  </si>
  <si>
    <t>P399</t>
  </si>
  <si>
    <t>C10-6</t>
  </si>
  <si>
    <t>LOT36838</t>
  </si>
  <si>
    <t>VEND-394</t>
  </si>
  <si>
    <t>P291</t>
  </si>
  <si>
    <t>B32-8</t>
  </si>
  <si>
    <t>LOT25440</t>
  </si>
  <si>
    <t>P975</t>
  </si>
  <si>
    <t>C45-16</t>
  </si>
  <si>
    <t>LOT36565</t>
  </si>
  <si>
    <t>LOT63714</t>
  </si>
  <si>
    <t>VEND-947</t>
  </si>
  <si>
    <t>B56-10</t>
  </si>
  <si>
    <t>LOT26458</t>
  </si>
  <si>
    <t>VEND-646</t>
  </si>
  <si>
    <t>P772</t>
  </si>
  <si>
    <t>D52-2</t>
  </si>
  <si>
    <t>LOT19097</t>
  </si>
  <si>
    <t>P808</t>
  </si>
  <si>
    <t>LOT14874</t>
  </si>
  <si>
    <t>VEND-469</t>
  </si>
  <si>
    <t>D57-2</t>
  </si>
  <si>
    <t>LOT49197</t>
  </si>
  <si>
    <t>ZCFPT-SS-XL-BO</t>
  </si>
  <si>
    <t>D46-16</t>
  </si>
  <si>
    <t>LOT97275</t>
  </si>
  <si>
    <t>C50-16</t>
  </si>
  <si>
    <t>LOT65809</t>
  </si>
  <si>
    <t>VEND-914</t>
  </si>
  <si>
    <t>P810</t>
  </si>
  <si>
    <t>B48-4</t>
  </si>
  <si>
    <t>LOT74171</t>
  </si>
  <si>
    <t>VEND-374</t>
  </si>
  <si>
    <t>P792</t>
  </si>
  <si>
    <t>C10-9</t>
  </si>
  <si>
    <t>LOT63028</t>
  </si>
  <si>
    <t>P197</t>
  </si>
  <si>
    <t>B19-17</t>
  </si>
  <si>
    <t>LOT36666</t>
  </si>
  <si>
    <t>VEND-522</t>
  </si>
  <si>
    <t>P294</t>
  </si>
  <si>
    <t>C48-5</t>
  </si>
  <si>
    <t>LOT45157</t>
  </si>
  <si>
    <t>P736</t>
  </si>
  <si>
    <t>B35-4</t>
  </si>
  <si>
    <t>LOT82246</t>
  </si>
  <si>
    <t>P964</t>
  </si>
  <si>
    <t>B12-8</t>
  </si>
  <si>
    <t>LOT92119</t>
  </si>
  <si>
    <t>P536</t>
  </si>
  <si>
    <t>B36-16</t>
  </si>
  <si>
    <t>LOT97848</t>
  </si>
  <si>
    <t>VEND-688</t>
  </si>
  <si>
    <t>P687</t>
  </si>
  <si>
    <t>B28-13</t>
  </si>
  <si>
    <t>LOT56986</t>
  </si>
  <si>
    <t>VEND-220</t>
  </si>
  <si>
    <t>P545</t>
  </si>
  <si>
    <t>D39-10</t>
  </si>
  <si>
    <t>LOT81671</t>
  </si>
  <si>
    <t>VEND-675</t>
  </si>
  <si>
    <t>P435</t>
  </si>
  <si>
    <t>B19-6</t>
  </si>
  <si>
    <t>LOT92009</t>
  </si>
  <si>
    <t>VEND-150</t>
  </si>
  <si>
    <t>P891</t>
  </si>
  <si>
    <t>D18-1</t>
  </si>
  <si>
    <t>LOT73966</t>
  </si>
  <si>
    <t>P478</t>
  </si>
  <si>
    <t>LOT35027</t>
  </si>
  <si>
    <t>VEND-472</t>
  </si>
  <si>
    <t>C36-10</t>
  </si>
  <si>
    <t>LOT59839</t>
  </si>
  <si>
    <t>P253</t>
  </si>
  <si>
    <t>A48-20</t>
  </si>
  <si>
    <t>LOT89617</t>
  </si>
  <si>
    <t>VEND-480</t>
  </si>
  <si>
    <t>P220</t>
  </si>
  <si>
    <t>ZCFPT-SS-XL-O</t>
  </si>
  <si>
    <t>C19-20</t>
  </si>
  <si>
    <t>LOT21769</t>
  </si>
  <si>
    <t>LOT99815</t>
  </si>
  <si>
    <t>P504</t>
  </si>
  <si>
    <t>C15-14</t>
  </si>
  <si>
    <t>LOT77882</t>
  </si>
  <si>
    <t>VEND-139</t>
  </si>
  <si>
    <t>P136</t>
  </si>
  <si>
    <t>C37-6</t>
  </si>
  <si>
    <t>LOT63308</t>
  </si>
  <si>
    <t>A31-13</t>
  </si>
  <si>
    <t>LOT57947</t>
  </si>
  <si>
    <t>VEND-948</t>
  </si>
  <si>
    <t>P535</t>
  </si>
  <si>
    <t>A31-19</t>
  </si>
  <si>
    <t>LOT38795</t>
  </si>
  <si>
    <t>VEND-280</t>
  </si>
  <si>
    <t>P496</t>
  </si>
  <si>
    <t>A37-13</t>
  </si>
  <si>
    <t>LOT24922</t>
  </si>
  <si>
    <t>P331</t>
  </si>
  <si>
    <t>D52-18</t>
  </si>
  <si>
    <t>LOT37032</t>
  </si>
  <si>
    <t>VEND-755</t>
  </si>
  <si>
    <t>P196</t>
  </si>
  <si>
    <t>C57-7</t>
  </si>
  <si>
    <t>LOT72895</t>
  </si>
  <si>
    <t>VEND-133</t>
  </si>
  <si>
    <t>P1083</t>
  </si>
  <si>
    <t>D50-17</t>
  </si>
  <si>
    <t>LOT23862</t>
  </si>
  <si>
    <t>VEND-809</t>
  </si>
  <si>
    <t>P660</t>
  </si>
  <si>
    <t>A47-19</t>
  </si>
  <si>
    <t>LOT72265</t>
  </si>
  <si>
    <t>VEND-727</t>
  </si>
  <si>
    <t>C23-1</t>
  </si>
  <si>
    <t>LOT39417</t>
  </si>
  <si>
    <t>VEND-818</t>
  </si>
  <si>
    <t>P301</t>
  </si>
  <si>
    <t>B49-8</t>
  </si>
  <si>
    <t>LOT67246</t>
  </si>
  <si>
    <t>VEND-356</t>
  </si>
  <si>
    <t>P369</t>
  </si>
  <si>
    <t>B43-9</t>
  </si>
  <si>
    <t>LOT79088</t>
  </si>
  <si>
    <t>VEND-764</t>
  </si>
  <si>
    <t>P788</t>
  </si>
  <si>
    <t>C12-16</t>
  </si>
  <si>
    <t>LOT90599</t>
  </si>
  <si>
    <t>VEND-247</t>
  </si>
  <si>
    <t>B27-15</t>
  </si>
  <si>
    <t>LOT76635</t>
  </si>
  <si>
    <t>VEND-385</t>
  </si>
  <si>
    <t>P603</t>
  </si>
  <si>
    <t>ZCSAJ-SS-L-B</t>
  </si>
  <si>
    <t>ZavaCore Systems Athletic Jersey</t>
  </si>
  <si>
    <t>B21-13</t>
  </si>
  <si>
    <t>LOT35405</t>
  </si>
  <si>
    <t>P612</t>
  </si>
  <si>
    <t>D35-13</t>
  </si>
  <si>
    <t>LOT20784</t>
  </si>
  <si>
    <t>VEND-919</t>
  </si>
  <si>
    <t>P925</t>
  </si>
  <si>
    <t>A23-6</t>
  </si>
  <si>
    <t>LOT78433</t>
  </si>
  <si>
    <t>P909</t>
  </si>
  <si>
    <t>B29-10</t>
  </si>
  <si>
    <t>LOT98143</t>
  </si>
  <si>
    <t>VEND-122</t>
  </si>
  <si>
    <t>D16-4</t>
  </si>
  <si>
    <t>LOT44567</t>
  </si>
  <si>
    <t>P793</t>
  </si>
  <si>
    <t>C20-7</t>
  </si>
  <si>
    <t>LOT13473</t>
  </si>
  <si>
    <t>A45-20</t>
  </si>
  <si>
    <t>LOT82489</t>
  </si>
  <si>
    <t>VEND-834</t>
  </si>
  <si>
    <t>D10-3</t>
  </si>
  <si>
    <t>LOT35483</t>
  </si>
  <si>
    <t>VEND-326</t>
  </si>
  <si>
    <t>C28-6</t>
  </si>
  <si>
    <t>LOT81546</t>
  </si>
  <si>
    <t>VEND-481</t>
  </si>
  <si>
    <t>P222</t>
  </si>
  <si>
    <t>C19-8</t>
  </si>
  <si>
    <t>LOT26895</t>
  </si>
  <si>
    <t>VEND-210</t>
  </si>
  <si>
    <t>A46-8</t>
  </si>
  <si>
    <t>LOT29186</t>
  </si>
  <si>
    <t>VEND-232</t>
  </si>
  <si>
    <t>P407</t>
  </si>
  <si>
    <t>C26-2</t>
  </si>
  <si>
    <t>LOT84330</t>
  </si>
  <si>
    <t>P102</t>
  </si>
  <si>
    <t>C47-11</t>
  </si>
  <si>
    <t>LOT54998</t>
  </si>
  <si>
    <t>B37-14</t>
  </si>
  <si>
    <t>LOT67662</t>
  </si>
  <si>
    <t>VEND-530</t>
  </si>
  <si>
    <t>P410</t>
  </si>
  <si>
    <t>D49-9</t>
  </si>
  <si>
    <t>LOT17410</t>
  </si>
  <si>
    <t>VEND-855</t>
  </si>
  <si>
    <t>P588</t>
  </si>
  <si>
    <t>B48-13</t>
  </si>
  <si>
    <t>LOT49861</t>
  </si>
  <si>
    <t>VEND-988</t>
  </si>
  <si>
    <t>P1066</t>
  </si>
  <si>
    <t>B56-19</t>
  </si>
  <si>
    <t>LOT43237</t>
  </si>
  <si>
    <t>D43-17</t>
  </si>
  <si>
    <t>LOT35832</t>
  </si>
  <si>
    <t>VEND-234</t>
  </si>
  <si>
    <t>P406</t>
  </si>
  <si>
    <t>ZCSAJ-SS-L-BO</t>
  </si>
  <si>
    <t>A59-6</t>
  </si>
  <si>
    <t>LOT76818</t>
  </si>
  <si>
    <t>A28-1</t>
  </si>
  <si>
    <t>LOT72551</t>
  </si>
  <si>
    <t>VEND-739</t>
  </si>
  <si>
    <t>P1067</t>
  </si>
  <si>
    <t>B25-1</t>
  </si>
  <si>
    <t>LOT26126</t>
  </si>
  <si>
    <t>VEND-293</t>
  </si>
  <si>
    <t>P839</t>
  </si>
  <si>
    <t>C34-3</t>
  </si>
  <si>
    <t>LOT63916</t>
  </si>
  <si>
    <t>P321</t>
  </si>
  <si>
    <t>C13-19</t>
  </si>
  <si>
    <t>LOT78620</t>
  </si>
  <si>
    <t>B30-17</t>
  </si>
  <si>
    <t>LOT36102</t>
  </si>
  <si>
    <t>P537</t>
  </si>
  <si>
    <t>LOT44264</t>
  </si>
  <si>
    <t>VEND-903</t>
  </si>
  <si>
    <t>P231</t>
  </si>
  <si>
    <t>C10-19</t>
  </si>
  <si>
    <t>LOT64852</t>
  </si>
  <si>
    <t>VEND-237</t>
  </si>
  <si>
    <t>A38-2</t>
  </si>
  <si>
    <t>LOT72834</t>
  </si>
  <si>
    <t>VEND-595</t>
  </si>
  <si>
    <t>D25-17</t>
  </si>
  <si>
    <t>LOT32448</t>
  </si>
  <si>
    <t>P754</t>
  </si>
  <si>
    <t>LOT98925</t>
  </si>
  <si>
    <t>VEND-149</t>
  </si>
  <si>
    <t>D27-6</t>
  </si>
  <si>
    <t>LOT15609</t>
  </si>
  <si>
    <t>VEND-419</t>
  </si>
  <si>
    <t>C36-14</t>
  </si>
  <si>
    <t>LOT56411</t>
  </si>
  <si>
    <t>VEND-627</t>
  </si>
  <si>
    <t>ZCSAJ-SS-L-O</t>
  </si>
  <si>
    <t>A43-10</t>
  </si>
  <si>
    <t>LOT40480</t>
  </si>
  <si>
    <t>P139</t>
  </si>
  <si>
    <t>C16-19</t>
  </si>
  <si>
    <t>LOT41410</t>
  </si>
  <si>
    <t>VEND-455</t>
  </si>
  <si>
    <t>P305</t>
  </si>
  <si>
    <t>D45-16</t>
  </si>
  <si>
    <t>LOT84628</t>
  </si>
  <si>
    <t>VEND-484</t>
  </si>
  <si>
    <t>P609</t>
  </si>
  <si>
    <t>B10-18</t>
  </si>
  <si>
    <t>LOT36674</t>
  </si>
  <si>
    <t>D55-20</t>
  </si>
  <si>
    <t>LOT82282</t>
  </si>
  <si>
    <t>VEND-798</t>
  </si>
  <si>
    <t>P630</t>
  </si>
  <si>
    <t>B16-7</t>
  </si>
  <si>
    <t>LOT17507</t>
  </si>
  <si>
    <t>VEND-171</t>
  </si>
  <si>
    <t>P556</t>
  </si>
  <si>
    <t>C38-5</t>
  </si>
  <si>
    <t>LOT85808</t>
  </si>
  <si>
    <t>VEND-468</t>
  </si>
  <si>
    <t>P942</t>
  </si>
  <si>
    <t>A40-19</t>
  </si>
  <si>
    <t>LOT66294</t>
  </si>
  <si>
    <t>VEND-605</t>
  </si>
  <si>
    <t>P962</t>
  </si>
  <si>
    <t>D54-19</t>
  </si>
  <si>
    <t>LOT86540</t>
  </si>
  <si>
    <t>VEND-608</t>
  </si>
  <si>
    <t>P997</t>
  </si>
  <si>
    <t>B48-7</t>
  </si>
  <si>
    <t>LOT98466</t>
  </si>
  <si>
    <t>P267</t>
  </si>
  <si>
    <t>D57-10</t>
  </si>
  <si>
    <t>LOT21902</t>
  </si>
  <si>
    <t>VEND-911</t>
  </si>
  <si>
    <t>LOT89400</t>
  </si>
  <si>
    <t>VEND-925</t>
  </si>
  <si>
    <t>A50-15</t>
  </si>
  <si>
    <t>LOT54815</t>
  </si>
  <si>
    <t>VEND-490</t>
  </si>
  <si>
    <t>D50-7</t>
  </si>
  <si>
    <t>LOT95777</t>
  </si>
  <si>
    <t>VEND-719</t>
  </si>
  <si>
    <t>P530</t>
  </si>
  <si>
    <t>D18-4</t>
  </si>
  <si>
    <t>LOT51838</t>
  </si>
  <si>
    <t>VEND-384</t>
  </si>
  <si>
    <t>A20-3</t>
  </si>
  <si>
    <t>LOT35477</t>
  </si>
  <si>
    <t>VEND-745</t>
  </si>
  <si>
    <t>D36-16</t>
  </si>
  <si>
    <t>LOT95096</t>
  </si>
  <si>
    <t>VEND-519</t>
  </si>
  <si>
    <t>P366</t>
  </si>
  <si>
    <t>A59-3</t>
  </si>
  <si>
    <t>LOT93077</t>
  </si>
  <si>
    <t>ZCSAJ-SS-M-B</t>
  </si>
  <si>
    <t>LOT32116</t>
  </si>
  <si>
    <t>VEND-318</t>
  </si>
  <si>
    <t>P554</t>
  </si>
  <si>
    <t>C26-10</t>
  </si>
  <si>
    <t>LOT69831</t>
  </si>
  <si>
    <t>VEND-418</t>
  </si>
  <si>
    <t>A36-5</t>
  </si>
  <si>
    <t>LOT14723</t>
  </si>
  <si>
    <t>VEND-796</t>
  </si>
  <si>
    <t>P1057</t>
  </si>
  <si>
    <t>C45-8</t>
  </si>
  <si>
    <t>LOT94124</t>
  </si>
  <si>
    <t>VEND-746</t>
  </si>
  <si>
    <t>P969</t>
  </si>
  <si>
    <t>A42-6</t>
  </si>
  <si>
    <t>LOT12793</t>
  </si>
  <si>
    <t>VEND-723</t>
  </si>
  <si>
    <t>P451</t>
  </si>
  <si>
    <t>C12-8</t>
  </si>
  <si>
    <t>LOT67289</t>
  </si>
  <si>
    <t>VEND-330</t>
  </si>
  <si>
    <t>P290</t>
  </si>
  <si>
    <t>B30-4</t>
  </si>
  <si>
    <t>LOT92474</t>
  </si>
  <si>
    <t>P591</t>
  </si>
  <si>
    <t>B21-1</t>
  </si>
  <si>
    <t>LOT88882</t>
  </si>
  <si>
    <t>VEND-828</t>
  </si>
  <si>
    <t>B15-14</t>
  </si>
  <si>
    <t>LOT43976</t>
  </si>
  <si>
    <t>VEND-422</t>
  </si>
  <si>
    <t>P668</t>
  </si>
  <si>
    <t>A42-14</t>
  </si>
  <si>
    <t>LOT90039</t>
  </si>
  <si>
    <t>P970</t>
  </si>
  <si>
    <t>LOT94465</t>
  </si>
  <si>
    <t>VEND-838</t>
  </si>
  <si>
    <t>P266</t>
  </si>
  <si>
    <t>B37-11</t>
  </si>
  <si>
    <t>LOT19981</t>
  </si>
  <si>
    <t>D44-6</t>
  </si>
  <si>
    <t>LOT54658</t>
  </si>
  <si>
    <t>D31-3</t>
  </si>
  <si>
    <t>LOT21710</t>
  </si>
  <si>
    <t>A34-3</t>
  </si>
  <si>
    <t>LOT37596</t>
  </si>
  <si>
    <t>VEND-979</t>
  </si>
  <si>
    <t>P104</t>
  </si>
  <si>
    <t>A16-18</t>
  </si>
  <si>
    <t>LOT62105</t>
  </si>
  <si>
    <t>VEND-381</t>
  </si>
  <si>
    <t>P1097</t>
  </si>
  <si>
    <t>A14-3</t>
  </si>
  <si>
    <t>LOT74290</t>
  </si>
  <si>
    <t>VEND-775</t>
  </si>
  <si>
    <t>P234</t>
  </si>
  <si>
    <t>D11-12</t>
  </si>
  <si>
    <t>LOT65803</t>
  </si>
  <si>
    <t>P523</t>
  </si>
  <si>
    <t>LOT54183</t>
  </si>
  <si>
    <t>VEND-497</t>
  </si>
  <si>
    <t>P1055</t>
  </si>
  <si>
    <t>ZCSAJ-SS-M-BO</t>
  </si>
  <si>
    <t>B26-9</t>
  </si>
  <si>
    <t>LOT34500</t>
  </si>
  <si>
    <t>P949</t>
  </si>
  <si>
    <t>C18-12</t>
  </si>
  <si>
    <t>LOT68225</t>
  </si>
  <si>
    <t>VEND-188</t>
  </si>
  <si>
    <t>D14-19</t>
  </si>
  <si>
    <t>LOT73737</t>
  </si>
  <si>
    <t>VEND-850</t>
  </si>
  <si>
    <t>D23-5</t>
  </si>
  <si>
    <t>LOT16572</t>
  </si>
  <si>
    <t>VEND-310</t>
  </si>
  <si>
    <t>P287</t>
  </si>
  <si>
    <t>B49-6</t>
  </si>
  <si>
    <t>LOT67413</t>
  </si>
  <si>
    <t>P984</t>
  </si>
  <si>
    <t>B18-15</t>
  </si>
  <si>
    <t>LOT48349</t>
  </si>
  <si>
    <t>P868</t>
  </si>
  <si>
    <t>D38-4</t>
  </si>
  <si>
    <t>LOT32396</t>
  </si>
  <si>
    <t>VEND-691</t>
  </si>
  <si>
    <t>P479</t>
  </si>
  <si>
    <t>D51-19</t>
  </si>
  <si>
    <t>LOT62606</t>
  </si>
  <si>
    <t>B56-7</t>
  </si>
  <si>
    <t>LOT48969</t>
  </si>
  <si>
    <t>P683</t>
  </si>
  <si>
    <t>B58-14</t>
  </si>
  <si>
    <t>LOT72591</t>
  </si>
  <si>
    <t>VEND-204</t>
  </si>
  <si>
    <t>P320</t>
  </si>
  <si>
    <t>A50-10</t>
  </si>
  <si>
    <t>LOT34703</t>
  </si>
  <si>
    <t>P263</t>
  </si>
  <si>
    <t>C14-7</t>
  </si>
  <si>
    <t>LOT99791</t>
  </si>
  <si>
    <t>VEND-256</t>
  </si>
  <si>
    <t>P148</t>
  </si>
  <si>
    <t>B22-9</t>
  </si>
  <si>
    <t>LOT58251</t>
  </si>
  <si>
    <t>P1028</t>
  </si>
  <si>
    <t>LOT49749</t>
  </si>
  <si>
    <t>VEND-471</t>
  </si>
  <si>
    <t>P972</t>
  </si>
  <si>
    <t>C59-12</t>
  </si>
  <si>
    <t>LOT21894</t>
  </si>
  <si>
    <t>VEND-271</t>
  </si>
  <si>
    <t>P864</t>
  </si>
  <si>
    <t>ZCSAJ-SS-M-O</t>
  </si>
  <si>
    <t>D48-3</t>
  </si>
  <si>
    <t>LOT22931</t>
  </si>
  <si>
    <t>VEND-410</t>
  </si>
  <si>
    <t>P638</t>
  </si>
  <si>
    <t>D20-8</t>
  </si>
  <si>
    <t>LOT83112</t>
  </si>
  <si>
    <t>VEND-177</t>
  </si>
  <si>
    <t>P579</t>
  </si>
  <si>
    <t>D28-9</t>
  </si>
  <si>
    <t>LOT67936</t>
  </si>
  <si>
    <t>P411</t>
  </si>
  <si>
    <t>B12-7</t>
  </si>
  <si>
    <t>LOT77392</t>
  </si>
  <si>
    <t>VEND-837</t>
  </si>
  <si>
    <t>B36-14</t>
  </si>
  <si>
    <t>LOT86319</t>
  </si>
  <si>
    <t>VEND-305</t>
  </si>
  <si>
    <t>P386</t>
  </si>
  <si>
    <t>B38-15</t>
  </si>
  <si>
    <t>LOT41846</t>
  </si>
  <si>
    <t>VEND-641</t>
  </si>
  <si>
    <t>P943</t>
  </si>
  <si>
    <t>A44-7</t>
  </si>
  <si>
    <t>LOT33023</t>
  </si>
  <si>
    <t>VEND-132</t>
  </si>
  <si>
    <t>B21-16</t>
  </si>
  <si>
    <t>LOT34690</t>
  </si>
  <si>
    <t>P757</t>
  </si>
  <si>
    <t>LOT96334</t>
  </si>
  <si>
    <t>VEND-152</t>
  </si>
  <si>
    <t>D22-13</t>
  </si>
  <si>
    <t>LOT95445</t>
  </si>
  <si>
    <t>VEND-289</t>
  </si>
  <si>
    <t>A58-18</t>
  </si>
  <si>
    <t>LOT30016</t>
  </si>
  <si>
    <t>P645</t>
  </si>
  <si>
    <t>LOT37476</t>
  </si>
  <si>
    <t>VEND-964</t>
  </si>
  <si>
    <t>P494</t>
  </si>
  <si>
    <t>D44-7</t>
  </si>
  <si>
    <t>LOT34479</t>
  </si>
  <si>
    <t>C29-2</t>
  </si>
  <si>
    <t>LOT20106</t>
  </si>
  <si>
    <t>VEND-413</t>
  </si>
  <si>
    <t>P616</t>
  </si>
  <si>
    <t>C18-3</t>
  </si>
  <si>
    <t>LOT48881</t>
  </si>
  <si>
    <t>VEND-832</t>
  </si>
  <si>
    <t>P906</t>
  </si>
  <si>
    <t>LOT71636</t>
  </si>
  <si>
    <t>VEND-343</t>
  </si>
  <si>
    <t>P343</t>
  </si>
  <si>
    <t>A14-18</t>
  </si>
  <si>
    <t>LOT41698</t>
  </si>
  <si>
    <t>P318</t>
  </si>
  <si>
    <t>C13-15</t>
  </si>
  <si>
    <t>LOT57119</t>
  </si>
  <si>
    <t>VEND-770</t>
  </si>
  <si>
    <t>P211</t>
  </si>
  <si>
    <t>ZCSAJ-SS-S-B</t>
  </si>
  <si>
    <t>C30-8</t>
  </si>
  <si>
    <t>LOT35551</t>
  </si>
  <si>
    <t>VEND-135</t>
  </si>
  <si>
    <t>P153</t>
  </si>
  <si>
    <t>A24-4</t>
  </si>
  <si>
    <t>LOT65139</t>
  </si>
  <si>
    <t>VEND-211</t>
  </si>
  <si>
    <t>P1072</t>
  </si>
  <si>
    <t>D15-14</t>
  </si>
  <si>
    <t>VEND-848</t>
  </si>
  <si>
    <t>P426</t>
  </si>
  <si>
    <t>C52-15</t>
  </si>
  <si>
    <t>LOT32651</t>
  </si>
  <si>
    <t>D57-3</t>
  </si>
  <si>
    <t>LOT78715</t>
  </si>
  <si>
    <t>P967</t>
  </si>
  <si>
    <t>B55-17</t>
  </si>
  <si>
    <t>LOT77717</t>
  </si>
  <si>
    <t>VEND-516</t>
  </si>
  <si>
    <t>P116</t>
  </si>
  <si>
    <t>C42-8</t>
  </si>
  <si>
    <t>LOT38120</t>
  </si>
  <si>
    <t>D52-15</t>
  </si>
  <si>
    <t>LOT44241</t>
  </si>
  <si>
    <t>VEND-400</t>
  </si>
  <si>
    <t>LOT22971</t>
  </si>
  <si>
    <t>VEND-946</t>
  </si>
  <si>
    <t>P1040</t>
  </si>
  <si>
    <t>B31-10</t>
  </si>
  <si>
    <t>LOT19677</t>
  </si>
  <si>
    <t>P164</t>
  </si>
  <si>
    <t>B20-17</t>
  </si>
  <si>
    <t>LOT96740</t>
  </si>
  <si>
    <t>VEND-545</t>
  </si>
  <si>
    <t>P118</t>
  </si>
  <si>
    <t>C41-17</t>
  </si>
  <si>
    <t>LOT40848</t>
  </si>
  <si>
    <t>VEND-766</t>
  </si>
  <si>
    <t>A43-11</t>
  </si>
  <si>
    <t>LOT74628</t>
  </si>
  <si>
    <t>VEND-965</t>
  </si>
  <si>
    <t>P887</t>
  </si>
  <si>
    <t>D16-10</t>
  </si>
  <si>
    <t>LOT31199</t>
  </si>
  <si>
    <t>VEND-773</t>
  </si>
  <si>
    <t>ZCSAJ-SS-S-BO</t>
  </si>
  <si>
    <t>LOT34505</t>
  </si>
  <si>
    <t>VEND-923</t>
  </si>
  <si>
    <t>P1069</t>
  </si>
  <si>
    <t>LOT49649</t>
  </si>
  <si>
    <t>A40-2</t>
  </si>
  <si>
    <t>LOT23568</t>
  </si>
  <si>
    <t>P1077</t>
  </si>
  <si>
    <t>D53-12</t>
  </si>
  <si>
    <t>LOT97180</t>
  </si>
  <si>
    <t>P163</t>
  </si>
  <si>
    <t>D42-11</t>
  </si>
  <si>
    <t>LOT95273</t>
  </si>
  <si>
    <t>P288</t>
  </si>
  <si>
    <t>D32-11</t>
  </si>
  <si>
    <t>LOT95406</t>
  </si>
  <si>
    <t>VEND-168</t>
  </si>
  <si>
    <t>P258</t>
  </si>
  <si>
    <t>C52-13</t>
  </si>
  <si>
    <t>LOT71694</t>
  </si>
  <si>
    <t>VEND-346</t>
  </si>
  <si>
    <t>P480</t>
  </si>
  <si>
    <t>A21-1</t>
  </si>
  <si>
    <t>LOT88007</t>
  </si>
  <si>
    <t>VEND-738</t>
  </si>
  <si>
    <t>P731</t>
  </si>
  <si>
    <t>B45-11</t>
  </si>
  <si>
    <t>LOT65994</t>
  </si>
  <si>
    <t>D19-1</t>
  </si>
  <si>
    <t>LOT68324</t>
  </si>
  <si>
    <t>D18-18</t>
  </si>
  <si>
    <t>LOT55215</t>
  </si>
  <si>
    <t>VEND-467</t>
  </si>
  <si>
    <t>B21-17</t>
  </si>
  <si>
    <t>LOT94128</t>
  </si>
  <si>
    <t>ZCSAJ-SS-S-O</t>
  </si>
  <si>
    <t>C33-1</t>
  </si>
  <si>
    <t>LOT86637</t>
  </si>
  <si>
    <t>VEND-907</t>
  </si>
  <si>
    <t>P117</t>
  </si>
  <si>
    <t>C53-17</t>
  </si>
  <si>
    <t>LOT89376</t>
  </si>
  <si>
    <t>D27-11</t>
  </si>
  <si>
    <t>LOT89287</t>
  </si>
  <si>
    <t>VEND-780</t>
  </si>
  <si>
    <t>D42-16</t>
  </si>
  <si>
    <t>LOT48209</t>
  </si>
  <si>
    <t>A52-18</t>
  </si>
  <si>
    <t>LOT43030</t>
  </si>
  <si>
    <t>D45-20</t>
  </si>
  <si>
    <t>LOT75467</t>
  </si>
  <si>
    <t>A11-2</t>
  </si>
  <si>
    <t>LOT55687</t>
  </si>
  <si>
    <t>B29-12</t>
  </si>
  <si>
    <t>LOT36747</t>
  </si>
  <si>
    <t>P269</t>
  </si>
  <si>
    <t>C59-2</t>
  </si>
  <si>
    <t>LOT13073</t>
  </si>
  <si>
    <t>P761</t>
  </si>
  <si>
    <t>D34-18</t>
  </si>
  <si>
    <t>LOT77769</t>
  </si>
  <si>
    <t>A11-17</t>
  </si>
  <si>
    <t>LOT59070</t>
  </si>
  <si>
    <t>P555</t>
  </si>
  <si>
    <t>B22-3</t>
  </si>
  <si>
    <t>LOT60552</t>
  </si>
  <si>
    <t>P1056</t>
  </si>
  <si>
    <t>A22-13</t>
  </si>
  <si>
    <t>LOT91580</t>
  </si>
  <si>
    <t>VEND-663</t>
  </si>
  <si>
    <t>P594</t>
  </si>
  <si>
    <t>B52-11</t>
  </si>
  <si>
    <t>LOT64275</t>
  </si>
  <si>
    <t>P566</t>
  </si>
  <si>
    <t>LOT58008</t>
  </si>
  <si>
    <t>P1074</t>
  </si>
  <si>
    <t>B43-20</t>
  </si>
  <si>
    <t>LOT87141</t>
  </si>
  <si>
    <t>VEND-996</t>
  </si>
  <si>
    <t>ZCSAJ-SS-XL-B</t>
  </si>
  <si>
    <t>D10-9</t>
  </si>
  <si>
    <t>LOT61717</t>
  </si>
  <si>
    <t>LOT11114</t>
  </si>
  <si>
    <t>VEND-558</t>
  </si>
  <si>
    <t>P763</t>
  </si>
  <si>
    <t>B44-20</t>
  </si>
  <si>
    <t>LOT51084</t>
  </si>
  <si>
    <t>P492</t>
  </si>
  <si>
    <t>C31-19</t>
  </si>
  <si>
    <t>LOT75571</t>
  </si>
  <si>
    <t>C27-19</t>
  </si>
  <si>
    <t>LOT92543</t>
  </si>
  <si>
    <t>VEND-560</t>
  </si>
  <si>
    <t>D29-7</t>
  </si>
  <si>
    <t>LOT73033</t>
  </si>
  <si>
    <t>B24-17</t>
  </si>
  <si>
    <t>LOT87989</t>
  </si>
  <si>
    <t>A22-17</t>
  </si>
  <si>
    <t>LOT35452</t>
  </si>
  <si>
    <t>A13-3</t>
  </si>
  <si>
    <t>LOT57500</t>
  </si>
  <si>
    <t>VEND-276</t>
  </si>
  <si>
    <t>P460</t>
  </si>
  <si>
    <t>C52-18</t>
  </si>
  <si>
    <t>LOT56048</t>
  </si>
  <si>
    <t>VEND-583</t>
  </si>
  <si>
    <t>P665</t>
  </si>
  <si>
    <t>B17-3</t>
  </si>
  <si>
    <t>LOT28814</t>
  </si>
  <si>
    <t>VEND-375</t>
  </si>
  <si>
    <t>P1090</t>
  </si>
  <si>
    <t>LOT85382</t>
  </si>
  <si>
    <t>VEND-117</t>
  </si>
  <si>
    <t>D17-6</t>
  </si>
  <si>
    <t>LOT53799</t>
  </si>
  <si>
    <t>VEND-550</t>
  </si>
  <si>
    <t>C50-19</t>
  </si>
  <si>
    <t>LOT75898</t>
  </si>
  <si>
    <t>VEND-768</t>
  </si>
  <si>
    <t>ZCSAJ-SS-XL-BO</t>
  </si>
  <si>
    <t>C42-13</t>
  </si>
  <si>
    <t>LOT36235</t>
  </si>
  <si>
    <t>VEND-121</t>
  </si>
  <si>
    <t>P149</t>
  </si>
  <si>
    <t>A37-1</t>
  </si>
  <si>
    <t>LOT32607</t>
  </si>
  <si>
    <t>VEND-145</t>
  </si>
  <si>
    <t>P1091</t>
  </si>
  <si>
    <t>LOT85072</t>
  </si>
  <si>
    <t>VEND-865</t>
  </si>
  <si>
    <t>D31-1</t>
  </si>
  <si>
    <t>LOT70825</t>
  </si>
  <si>
    <t>P900</t>
  </si>
  <si>
    <t>B22-5</t>
  </si>
  <si>
    <t>LOT74989</t>
  </si>
  <si>
    <t>VEND-722</t>
  </si>
  <si>
    <t>LOT82379</t>
  </si>
  <si>
    <t>VEND-547</t>
  </si>
  <si>
    <t>A11-16</t>
  </si>
  <si>
    <t>LOT98487</t>
  </si>
  <si>
    <t>P933</t>
  </si>
  <si>
    <t>LOT99271</t>
  </si>
  <si>
    <t>VEND-242</t>
  </si>
  <si>
    <t>P912</t>
  </si>
  <si>
    <t>C28-13</t>
  </si>
  <si>
    <t>LOT48377</t>
  </si>
  <si>
    <t>ZCSAJ-SS-XL-O</t>
  </si>
  <si>
    <t>A10-20</t>
  </si>
  <si>
    <t>LOT46114</t>
  </si>
  <si>
    <t>VEND-333</t>
  </si>
  <si>
    <t>P861</t>
  </si>
  <si>
    <t>D20-15</t>
  </si>
  <si>
    <t>LOT87966</t>
  </si>
  <si>
    <t>VEND-367</t>
  </si>
  <si>
    <t>P831</t>
  </si>
  <si>
    <t>A54-1</t>
  </si>
  <si>
    <t>LOT78803</t>
  </si>
  <si>
    <t>P447</t>
  </si>
  <si>
    <t>D42-6</t>
  </si>
  <si>
    <t>LOT84300</t>
  </si>
  <si>
    <t>D48-9</t>
  </si>
  <si>
    <t>LOT29056</t>
  </si>
  <si>
    <t>B16-15</t>
  </si>
  <si>
    <t>LOT85210</t>
  </si>
  <si>
    <t>VEND-968</t>
  </si>
  <si>
    <t>D38-12</t>
  </si>
  <si>
    <t>LOT91523</t>
  </si>
  <si>
    <t>D19-4</t>
  </si>
  <si>
    <t>LOT98468</t>
  </si>
  <si>
    <t>P312</t>
  </si>
  <si>
    <t>B19-16</t>
  </si>
  <si>
    <t>LOT95462</t>
  </si>
  <si>
    <t>VEND-366</t>
  </si>
  <si>
    <t>A38-3</t>
  </si>
  <si>
    <t>LOT39655</t>
  </si>
  <si>
    <t>P567</t>
  </si>
  <si>
    <t>C24-20</t>
  </si>
  <si>
    <t>LOT18761</t>
  </si>
  <si>
    <t>P613</t>
  </si>
  <si>
    <t>ZCSC-SS-10-B</t>
  </si>
  <si>
    <t>ZavaCore Smart Cleats</t>
  </si>
  <si>
    <t>Footwear</t>
  </si>
  <si>
    <t>US 10</t>
  </si>
  <si>
    <t>D20-5</t>
  </si>
  <si>
    <t>LOT75890</t>
  </si>
  <si>
    <t>VEND-134</t>
  </si>
  <si>
    <t>D58-14</t>
  </si>
  <si>
    <t>LOT59703</t>
  </si>
  <si>
    <t>VEND-790</t>
  </si>
  <si>
    <t>D19-9</t>
  </si>
  <si>
    <t>LOT15877</t>
  </si>
  <si>
    <t>VEND-260</t>
  </si>
  <si>
    <t>P195</t>
  </si>
  <si>
    <t>B16-17</t>
  </si>
  <si>
    <t>LOT49018</t>
  </si>
  <si>
    <t>VEND-899</t>
  </si>
  <si>
    <t>B28-1</t>
  </si>
  <si>
    <t>LOT80397</t>
  </si>
  <si>
    <t>P740</t>
  </si>
  <si>
    <t>A23-19</t>
  </si>
  <si>
    <t>LOT97780</t>
  </si>
  <si>
    <t>P510</t>
  </si>
  <si>
    <t>D45-10</t>
  </si>
  <si>
    <t>LOT49588</t>
  </si>
  <si>
    <t>D57-8</t>
  </si>
  <si>
    <t>LOT79404</t>
  </si>
  <si>
    <t>VEND-866</t>
  </si>
  <si>
    <t>LOT56674</t>
  </si>
  <si>
    <t>P1070</t>
  </si>
  <si>
    <t>A25-9</t>
  </si>
  <si>
    <t>LOT78944</t>
  </si>
  <si>
    <t>VEND-791</t>
  </si>
  <si>
    <t>B10-13</t>
  </si>
  <si>
    <t>LOT55282</t>
  </si>
  <si>
    <t>VEND-506</t>
  </si>
  <si>
    <t>D27-15</t>
  </si>
  <si>
    <t>LOT78977</t>
  </si>
  <si>
    <t>VEND-658</t>
  </si>
  <si>
    <t>B25-17</t>
  </si>
  <si>
    <t>LOT60904</t>
  </si>
  <si>
    <t>D18-10</t>
  </si>
  <si>
    <t>LOT85640</t>
  </si>
  <si>
    <t>VEND-743</t>
  </si>
  <si>
    <t>D41-12</t>
  </si>
  <si>
    <t>LOT72326</t>
  </si>
  <si>
    <t>P132</t>
  </si>
  <si>
    <t>A58-17</t>
  </si>
  <si>
    <t>LOT34268</t>
  </si>
  <si>
    <t>VEND-881</t>
  </si>
  <si>
    <t>P692</t>
  </si>
  <si>
    <t>ZCSC-SS-10-BO</t>
  </si>
  <si>
    <t>A45-1</t>
  </si>
  <si>
    <t>LOT12121</t>
  </si>
  <si>
    <t>VEND-803</t>
  </si>
  <si>
    <t>P568</t>
  </si>
  <si>
    <t>C54-7</t>
  </si>
  <si>
    <t>LOT60454</t>
  </si>
  <si>
    <t>P455</t>
  </si>
  <si>
    <t>D16-16</t>
  </si>
  <si>
    <t>LOT10082</t>
  </si>
  <si>
    <t>VEND-240</t>
  </si>
  <si>
    <t>B15-10</t>
  </si>
  <si>
    <t>LOT55281</t>
  </si>
  <si>
    <t>P762</t>
  </si>
  <si>
    <t>C13-6</t>
  </si>
  <si>
    <t>LOT85957</t>
  </si>
  <si>
    <t>A21-11</t>
  </si>
  <si>
    <t>LOT45999</t>
  </si>
  <si>
    <t>VEND-661</t>
  </si>
  <si>
    <t>A35-20</t>
  </si>
  <si>
    <t>LOT51198</t>
  </si>
  <si>
    <t>P739</t>
  </si>
  <si>
    <t>LOT36743</t>
  </si>
  <si>
    <t>VEND-752</t>
  </si>
  <si>
    <t>P454</t>
  </si>
  <si>
    <t>LOT67749</t>
  </si>
  <si>
    <t>B25-3</t>
  </si>
  <si>
    <t>LOT84524</t>
  </si>
  <si>
    <t>A34-11</t>
  </si>
  <si>
    <t>LOT39044</t>
  </si>
  <si>
    <t>P657</t>
  </si>
  <si>
    <t>C44-1</t>
  </si>
  <si>
    <t>LOT67872</t>
  </si>
  <si>
    <t>VEND-213</t>
  </si>
  <si>
    <t>B13-11</t>
  </si>
  <si>
    <t>LOT16676</t>
  </si>
  <si>
    <t>P666</t>
  </si>
  <si>
    <t>D27-4</t>
  </si>
  <si>
    <t>LOT76895</t>
  </si>
  <si>
    <t>VEND-214</t>
  </si>
  <si>
    <t>ZCSC-SS-10-O</t>
  </si>
  <si>
    <t>C52-16</t>
  </si>
  <si>
    <t>LOT57518</t>
  </si>
  <si>
    <t>VEND-257</t>
  </si>
  <si>
    <t>C23-2</t>
  </si>
  <si>
    <t>LOT11387</t>
  </si>
  <si>
    <t>C59-18</t>
  </si>
  <si>
    <t>LOT69954</t>
  </si>
  <si>
    <t>VEND-327</t>
  </si>
  <si>
    <t>P370</t>
  </si>
  <si>
    <t>A58-11</t>
  </si>
  <si>
    <t>LOT21810</t>
  </si>
  <si>
    <t>P843</t>
  </si>
  <si>
    <t>A48-6</t>
  </si>
  <si>
    <t>LOT89809</t>
  </si>
  <si>
    <t>VEND-623</t>
  </si>
  <si>
    <t>D26-3</t>
  </si>
  <si>
    <t>LOT64970</t>
  </si>
  <si>
    <t>VEND-130</t>
  </si>
  <si>
    <t>LOT70347</t>
  </si>
  <si>
    <t>VEND-793</t>
  </si>
  <si>
    <t>P978</t>
  </si>
  <si>
    <t>A10-6</t>
  </si>
  <si>
    <t>LOT46300</t>
  </si>
  <si>
    <t>A46-12</t>
  </si>
  <si>
    <t>LOT80985</t>
  </si>
  <si>
    <t>VEND-198</t>
  </si>
  <si>
    <t>P873</t>
  </si>
  <si>
    <t>D46-5</t>
  </si>
  <si>
    <t>LOT34154</t>
  </si>
  <si>
    <t>B13-18</t>
  </si>
  <si>
    <t>LOT13055</t>
  </si>
  <si>
    <t>P697</t>
  </si>
  <si>
    <t>A55-4</t>
  </si>
  <si>
    <t>LOT97274</t>
  </si>
  <si>
    <t>P119</t>
  </si>
  <si>
    <t>LOT55356</t>
  </si>
  <si>
    <t>P245</t>
  </si>
  <si>
    <t>A53-5</t>
  </si>
  <si>
    <t>LOT97835</t>
  </si>
  <si>
    <t>VEND-349</t>
  </si>
  <si>
    <t>P884</t>
  </si>
  <si>
    <t>B38-6</t>
  </si>
  <si>
    <t>LOT33639</t>
  </si>
  <si>
    <t>A27-12</t>
  </si>
  <si>
    <t>LOT64431</t>
  </si>
  <si>
    <t>B43-4</t>
  </si>
  <si>
    <t>LOT27725</t>
  </si>
  <si>
    <t>VEND-561</t>
  </si>
  <si>
    <t>P924</t>
  </si>
  <si>
    <t>ZCSC-SS-11-B</t>
  </si>
  <si>
    <t>US 11</t>
  </si>
  <si>
    <t>B28-14</t>
  </si>
  <si>
    <t>LOT58816</t>
  </si>
  <si>
    <t>A33-18</t>
  </si>
  <si>
    <t>LOT49012</t>
  </si>
  <si>
    <t>D53-4</t>
  </si>
  <si>
    <t>LOT89169</t>
  </si>
  <si>
    <t>VEND-656</t>
  </si>
  <si>
    <t>D24-2</t>
  </si>
  <si>
    <t>LOT79511</t>
  </si>
  <si>
    <t>P112</t>
  </si>
  <si>
    <t>A32-17</t>
  </si>
  <si>
    <t>LOT14480</t>
  </si>
  <si>
    <t>VEND-970</t>
  </si>
  <si>
    <t>A28-9</t>
  </si>
  <si>
    <t>LOT72154</t>
  </si>
  <si>
    <t>VEND-118</t>
  </si>
  <si>
    <t>P782</t>
  </si>
  <si>
    <t>B32-13</t>
  </si>
  <si>
    <t>LOT23172</t>
  </si>
  <si>
    <t>P935</t>
  </si>
  <si>
    <t>LOT81935</t>
  </si>
  <si>
    <t>P838</t>
  </si>
  <si>
    <t>B54-15</t>
  </si>
  <si>
    <t>LOT64735</t>
  </si>
  <si>
    <t>VEND-141</t>
  </si>
  <si>
    <t>P177</t>
  </si>
  <si>
    <t>LOT58616</t>
  </si>
  <si>
    <t>VEND-248</t>
  </si>
  <si>
    <t>P458</t>
  </si>
  <si>
    <t>A37-10</t>
  </si>
  <si>
    <t>LOT14861</t>
  </si>
  <si>
    <t>B51-19</t>
  </si>
  <si>
    <t>LOT75807</t>
  </si>
  <si>
    <t>VEND-893</t>
  </si>
  <si>
    <t>P897</t>
  </si>
  <si>
    <t>A22-15</t>
  </si>
  <si>
    <t>LOT91083</t>
  </si>
  <si>
    <t>VEND-726</t>
  </si>
  <si>
    <t>P393</t>
  </si>
  <si>
    <t>B57-20</t>
  </si>
  <si>
    <t>LOT44038</t>
  </si>
  <si>
    <t>VEND-457</t>
  </si>
  <si>
    <t>D24-16</t>
  </si>
  <si>
    <t>LOT55746</t>
  </si>
  <si>
    <t>VEND-898</t>
  </si>
  <si>
    <t>B45-16</t>
  </si>
  <si>
    <t>LOT69818</t>
  </si>
  <si>
    <t>VEND-565</t>
  </si>
  <si>
    <t>P372</t>
  </si>
  <si>
    <t>LOT76946</t>
  </si>
  <si>
    <t>VEND-906</t>
  </si>
  <si>
    <t>A23-18</t>
  </si>
  <si>
    <t>LOT51042</t>
  </si>
  <si>
    <t>D49-8</t>
  </si>
  <si>
    <t>LOT37245</t>
  </si>
  <si>
    <t>P304</t>
  </si>
  <si>
    <t>ZCSC-SS-11-BO</t>
  </si>
  <si>
    <t>A11-12</t>
  </si>
  <si>
    <t>LOT18042</t>
  </si>
  <si>
    <t>P345</t>
  </si>
  <si>
    <t>A38-9</t>
  </si>
  <si>
    <t>LOT33233</t>
  </si>
  <si>
    <t>B15-4</t>
  </si>
  <si>
    <t>LOT15780</t>
  </si>
  <si>
    <t>VEND-170</t>
  </si>
  <si>
    <t>C10-13</t>
  </si>
  <si>
    <t>LOT50827</t>
  </si>
  <si>
    <t>B27-20</t>
  </si>
  <si>
    <t>LOT74389</t>
  </si>
  <si>
    <t>D18-3</t>
  </si>
  <si>
    <t>LOT71883</t>
  </si>
  <si>
    <t>P434</t>
  </si>
  <si>
    <t>LOT56602</t>
  </si>
  <si>
    <t>C37-10</t>
  </si>
  <si>
    <t>LOT76823</t>
  </si>
  <si>
    <t>VEND-941</t>
  </si>
  <si>
    <t>C38-1</t>
  </si>
  <si>
    <t>LOT44323</t>
  </si>
  <si>
    <t>VEND-620</t>
  </si>
  <si>
    <t>P314</t>
  </si>
  <si>
    <t>C39-8</t>
  </si>
  <si>
    <t>LOT42324</t>
  </si>
  <si>
    <t>VEND-689</t>
  </si>
  <si>
    <t>P850</t>
  </si>
  <si>
    <t>D37-17</t>
  </si>
  <si>
    <t>VEND-151</t>
  </si>
  <si>
    <t>P570</t>
  </si>
  <si>
    <t>LOT29006</t>
  </si>
  <si>
    <t>VEND-458</t>
  </si>
  <si>
    <t>A55-7</t>
  </si>
  <si>
    <t>LOT76431</t>
  </si>
  <si>
    <t>VEND-144</t>
  </si>
  <si>
    <t>P1029</t>
  </si>
  <si>
    <t>A12-12</t>
  </si>
  <si>
    <t>LOT55035</t>
  </si>
  <si>
    <t>P824</t>
  </si>
  <si>
    <t>C22-1</t>
  </si>
  <si>
    <t>LOT46613</t>
  </si>
  <si>
    <t>P1061</t>
  </si>
  <si>
    <t>A29-18</t>
  </si>
  <si>
    <t>LOT74070</t>
  </si>
  <si>
    <t>P493</t>
  </si>
  <si>
    <t>A39-20</t>
  </si>
  <si>
    <t>LOT21895</t>
  </si>
  <si>
    <t>ZCSC-SS-11-O</t>
  </si>
  <si>
    <t>B51-10</t>
  </si>
  <si>
    <t>LOT70663</t>
  </si>
  <si>
    <t>P1060</t>
  </si>
  <si>
    <t>D54-11</t>
  </si>
  <si>
    <t>LOT95116</t>
  </si>
  <si>
    <t>VEND-253</t>
  </si>
  <si>
    <t>P999</t>
  </si>
  <si>
    <t>C41-20</t>
  </si>
  <si>
    <t>LOT53520</t>
  </si>
  <si>
    <t>VEND-680</t>
  </si>
  <si>
    <t>A18-14</t>
  </si>
  <si>
    <t>LOT38545</t>
  </si>
  <si>
    <t>P405</t>
  </si>
  <si>
    <t>D59-11</t>
  </si>
  <si>
    <t>LOT73113</t>
  </si>
  <si>
    <t>LOT90176</t>
  </si>
  <si>
    <t>VEND-166</t>
  </si>
  <si>
    <t>B17-10</t>
  </si>
  <si>
    <t>LOT32197</t>
  </si>
  <si>
    <t>C47-14</t>
  </si>
  <si>
    <t>LOT90865</t>
  </si>
  <si>
    <t>P178</t>
  </si>
  <si>
    <t>A52-1</t>
  </si>
  <si>
    <t>LOT85288</t>
  </si>
  <si>
    <t>A14-7</t>
  </si>
  <si>
    <t>LOT79755</t>
  </si>
  <si>
    <t>P470</t>
  </si>
  <si>
    <t>B20-7</t>
  </si>
  <si>
    <t>LOT55390</t>
  </si>
  <si>
    <t>VEND-771</t>
  </si>
  <si>
    <t>B21-19</t>
  </si>
  <si>
    <t>LOT48974</t>
  </si>
  <si>
    <t>C10-7</t>
  </si>
  <si>
    <t>LOT36153</t>
  </si>
  <si>
    <t>P299</t>
  </si>
  <si>
    <t>C40-5</t>
  </si>
  <si>
    <t>LOT12457</t>
  </si>
  <si>
    <t>P270</t>
  </si>
  <si>
    <t>C57-12</t>
  </si>
  <si>
    <t>LOT75171</t>
  </si>
  <si>
    <t>VEND-814</t>
  </si>
  <si>
    <t>P722</t>
  </si>
  <si>
    <t>ZCSC-SS-8-B</t>
  </si>
  <si>
    <t>US 8</t>
  </si>
  <si>
    <t>LOT66391</t>
  </si>
  <si>
    <t>VEND-435</t>
  </si>
  <si>
    <t>P459</t>
  </si>
  <si>
    <t>B26-4</t>
  </si>
  <si>
    <t>LOT38796</t>
  </si>
  <si>
    <t>VEND-612</t>
  </si>
  <si>
    <t>B37-16</t>
  </si>
  <si>
    <t>LOT50040</t>
  </si>
  <si>
    <t>VEND-568</t>
  </si>
  <si>
    <t>D14-4</t>
  </si>
  <si>
    <t>LOT50585</t>
  </si>
  <si>
    <t>VEND-918</t>
  </si>
  <si>
    <t>P142</t>
  </si>
  <si>
    <t>A33-19</t>
  </si>
  <si>
    <t>LOT64508</t>
  </si>
  <si>
    <t>A10-15</t>
  </si>
  <si>
    <t>LOT95849</t>
  </si>
  <si>
    <t>D31-2</t>
  </si>
  <si>
    <t>LOT34228</t>
  </si>
  <si>
    <t>C25-4</t>
  </si>
  <si>
    <t>LOT58670</t>
  </si>
  <si>
    <t>P446</t>
  </si>
  <si>
    <t>C39-2</t>
  </si>
  <si>
    <t>LOT49605</t>
  </si>
  <si>
    <t>B17-9</t>
  </si>
  <si>
    <t>LOT61492</t>
  </si>
  <si>
    <t>LOT10489</t>
  </si>
  <si>
    <t>P500</t>
  </si>
  <si>
    <t>C13-13</t>
  </si>
  <si>
    <t>LOT59524</t>
  </si>
  <si>
    <t>P558</t>
  </si>
  <si>
    <t>LOT26881</t>
  </si>
  <si>
    <t>VEND-670</t>
  </si>
  <si>
    <t>P1009</t>
  </si>
  <si>
    <t>A15-15</t>
  </si>
  <si>
    <t>LOT11419</t>
  </si>
  <si>
    <t>B51-20</t>
  </si>
  <si>
    <t>LOT13891</t>
  </si>
  <si>
    <t>P347</t>
  </si>
  <si>
    <t>D23-2</t>
  </si>
  <si>
    <t>LOT22688</t>
  </si>
  <si>
    <t>D33-7</t>
  </si>
  <si>
    <t>LOT12057</t>
  </si>
  <si>
    <t>B13-5</t>
  </si>
  <si>
    <t>LOT46690</t>
  </si>
  <si>
    <t>VEND-127</t>
  </si>
  <si>
    <t>C36-8</t>
  </si>
  <si>
    <t>LOT37381</t>
  </si>
  <si>
    <t>P951</t>
  </si>
  <si>
    <t>ZCSC-SS-8-BO</t>
  </si>
  <si>
    <t>C49-9</t>
  </si>
  <si>
    <t>LOT55868</t>
  </si>
  <si>
    <t>D41-17</t>
  </si>
  <si>
    <t>LOT60482</t>
  </si>
  <si>
    <t>P323</t>
  </si>
  <si>
    <t>D57-11</t>
  </si>
  <si>
    <t>LOT42603</t>
  </si>
  <si>
    <t>A18-20</t>
  </si>
  <si>
    <t>LOT85143</t>
  </si>
  <si>
    <t>P160</t>
  </si>
  <si>
    <t>A43-8</t>
  </si>
  <si>
    <t>LOT72443</t>
  </si>
  <si>
    <t>VEND-805</t>
  </si>
  <si>
    <t>P337</t>
  </si>
  <si>
    <t>C51-19</t>
  </si>
  <si>
    <t>LOT60250</t>
  </si>
  <si>
    <t>B53-8</t>
  </si>
  <si>
    <t>LOT36073</t>
  </si>
  <si>
    <t>VEND-433</t>
  </si>
  <si>
    <t>P365</t>
  </si>
  <si>
    <t>C57-20</t>
  </si>
  <si>
    <t>LOT48792</t>
  </si>
  <si>
    <t>A46-3</t>
  </si>
  <si>
    <t>LOT55088</t>
  </si>
  <si>
    <t>VEND-642</t>
  </si>
  <si>
    <t>P832</t>
  </si>
  <si>
    <t>A15-6</t>
  </si>
  <si>
    <t>LOT71795</t>
  </si>
  <si>
    <t>P898</t>
  </si>
  <si>
    <t>D14-9</t>
  </si>
  <si>
    <t>LOT26315</t>
  </si>
  <si>
    <t>P282</t>
  </si>
  <si>
    <t>D27-10</t>
  </si>
  <si>
    <t>LOT42420</t>
  </si>
  <si>
    <t>VEND-657</t>
  </si>
  <si>
    <t>A19-4</t>
  </si>
  <si>
    <t>LOT24608</t>
  </si>
  <si>
    <t>A16-19</t>
  </si>
  <si>
    <t>LOT33601</t>
  </si>
  <si>
    <t>ZCSC-SS-8-O</t>
  </si>
  <si>
    <t>D58-12</t>
  </si>
  <si>
    <t>LOT71963</t>
  </si>
  <si>
    <t>VEND-628</t>
  </si>
  <si>
    <t>P550</t>
  </si>
  <si>
    <t>D57-16</t>
  </si>
  <si>
    <t>LOT33063</t>
  </si>
  <si>
    <t>VEND-383</t>
  </si>
  <si>
    <t>P676</t>
  </si>
  <si>
    <t>C47-10</t>
  </si>
  <si>
    <t>LOT15887</t>
  </si>
  <si>
    <t>VEND-637</t>
  </si>
  <si>
    <t>LOT21113</t>
  </si>
  <si>
    <t>A35-5</t>
  </si>
  <si>
    <t>LOT54686</t>
  </si>
  <si>
    <t>B55-7</t>
  </si>
  <si>
    <t>LOT88251</t>
  </si>
  <si>
    <t>P219</t>
  </si>
  <si>
    <t>B49-20</t>
  </si>
  <si>
    <t>LOT13534</t>
  </si>
  <si>
    <t>VEND-369</t>
  </si>
  <si>
    <t>B35-20</t>
  </si>
  <si>
    <t>LOT90688</t>
  </si>
  <si>
    <t>C37-19</t>
  </si>
  <si>
    <t>LOT66951</t>
  </si>
  <si>
    <t>VEND-735</t>
  </si>
  <si>
    <t>P733</t>
  </si>
  <si>
    <t>B19-18</t>
  </si>
  <si>
    <t>LOT89395</t>
  </si>
  <si>
    <t>C11-14</t>
  </si>
  <si>
    <t>LOT70648</t>
  </si>
  <si>
    <t>VEND-594</t>
  </si>
  <si>
    <t>A41-7</t>
  </si>
  <si>
    <t>LOT80034</t>
  </si>
  <si>
    <t>P695</t>
  </si>
  <si>
    <t>B59-20</t>
  </si>
  <si>
    <t>LOT77574</t>
  </si>
  <si>
    <t>VEND-705</t>
  </si>
  <si>
    <t>ZCSC-SS-9-B</t>
  </si>
  <si>
    <t>US 9</t>
  </si>
  <si>
    <t>A36-11</t>
  </si>
  <si>
    <t>LOT79420</t>
  </si>
  <si>
    <t>B17-15</t>
  </si>
  <si>
    <t>LOT80600</t>
  </si>
  <si>
    <t>VEND-718</t>
  </si>
  <si>
    <t>B19-8</t>
  </si>
  <si>
    <t>LOT20917</t>
  </si>
  <si>
    <t>D55-17</t>
  </si>
  <si>
    <t>LOT67479</t>
  </si>
  <si>
    <t>VEND-182</t>
  </si>
  <si>
    <t>P540</t>
  </si>
  <si>
    <t>B16-20</t>
  </si>
  <si>
    <t>LOT50510</t>
  </si>
  <si>
    <t>P152</t>
  </si>
  <si>
    <t>LOT13060</t>
  </si>
  <si>
    <t>VEND-930</t>
  </si>
  <si>
    <t>C36-13</t>
  </si>
  <si>
    <t>LOT51026</t>
  </si>
  <si>
    <t>P517</t>
  </si>
  <si>
    <t>C29-19</t>
  </si>
  <si>
    <t>LOT91928</t>
  </si>
  <si>
    <t>VEND-526</t>
  </si>
  <si>
    <t>A17-4</t>
  </si>
  <si>
    <t>LOT50927</t>
  </si>
  <si>
    <t>P818</t>
  </si>
  <si>
    <t>D38-18</t>
  </si>
  <si>
    <t>LOT53808</t>
  </si>
  <si>
    <t>P124</t>
  </si>
  <si>
    <t>C27-4</t>
  </si>
  <si>
    <t>LOT21246</t>
  </si>
  <si>
    <t>P1080</t>
  </si>
  <si>
    <t>C57-6</t>
  </si>
  <si>
    <t>LOT66980</t>
  </si>
  <si>
    <t>VEND-268</t>
  </si>
  <si>
    <t>P322</t>
  </si>
  <si>
    <t>B10-10</t>
  </si>
  <si>
    <t>LOT59207</t>
  </si>
  <si>
    <t>VEND-668</t>
  </si>
  <si>
    <t>ZCSC-SS-9-BO</t>
  </si>
  <si>
    <t>C21-4</t>
  </si>
  <si>
    <t>LOT15487</t>
  </si>
  <si>
    <t>P541</t>
  </si>
  <si>
    <t>C30-5</t>
  </si>
  <si>
    <t>LOT25175</t>
  </si>
  <si>
    <t>P344</t>
  </si>
  <si>
    <t>D28-18</t>
  </si>
  <si>
    <t>LOT15214</t>
  </si>
  <si>
    <t>VEND-517</t>
  </si>
  <si>
    <t>B52-16</t>
  </si>
  <si>
    <t>LOT47350</t>
  </si>
  <si>
    <t>D23-9</t>
  </si>
  <si>
    <t>LOT61548</t>
  </si>
  <si>
    <t>P732</t>
  </si>
  <si>
    <t>C51-14</t>
  </si>
  <si>
    <t>LOT29315</t>
  </si>
  <si>
    <t>P327</t>
  </si>
  <si>
    <t>LOT58119</t>
  </si>
  <si>
    <t>C17-1</t>
  </si>
  <si>
    <t>LOT52241</t>
  </si>
  <si>
    <t>VEND-488</t>
  </si>
  <si>
    <t>D27-16</t>
  </si>
  <si>
    <t>LOT46087</t>
  </si>
  <si>
    <t>VEND-924</t>
  </si>
  <si>
    <t>LOT43639</t>
  </si>
  <si>
    <t>VEND-740</t>
  </si>
  <si>
    <t>P544</t>
  </si>
  <si>
    <t>C26-14</t>
  </si>
  <si>
    <t>LOT56507</t>
  </si>
  <si>
    <t>VEND-264</t>
  </si>
  <si>
    <t>D32-2</t>
  </si>
  <si>
    <t>LOT32243</t>
  </si>
  <si>
    <t>ZCSC-SS-9-O</t>
  </si>
  <si>
    <t>D56-18</t>
  </si>
  <si>
    <t>LOT63475</t>
  </si>
  <si>
    <t>P703</t>
  </si>
  <si>
    <t>LOT42816</t>
  </si>
  <si>
    <t>VEND-261</t>
  </si>
  <si>
    <t>P543</t>
  </si>
  <si>
    <t>A26-8</t>
  </si>
  <si>
    <t>LOT46284</t>
  </si>
  <si>
    <t>VEND-901</t>
  </si>
  <si>
    <t>C28-20</t>
  </si>
  <si>
    <t>LOT83754</t>
  </si>
  <si>
    <t>VEND-652</t>
  </si>
  <si>
    <t>P175</t>
  </si>
  <si>
    <t>C15-8</t>
  </si>
  <si>
    <t>LOT62930</t>
  </si>
  <si>
    <t>A15-19</t>
  </si>
  <si>
    <t>LOT36626</t>
  </si>
  <si>
    <t>A49-3</t>
  </si>
  <si>
    <t>LOT75651</t>
  </si>
  <si>
    <t>VEND-833</t>
  </si>
  <si>
    <t>B21-3</t>
  </si>
  <si>
    <t>LOT28240</t>
  </si>
  <si>
    <t>VEND-845</t>
  </si>
  <si>
    <t>P730</t>
  </si>
  <si>
    <t>A41-5</t>
  </si>
  <si>
    <t>LOT10672</t>
  </si>
  <si>
    <t>VEND-817</t>
  </si>
  <si>
    <t>C34-19</t>
  </si>
  <si>
    <t>LOT35016</t>
  </si>
  <si>
    <t>P677</t>
  </si>
  <si>
    <t>B14-7</t>
  </si>
  <si>
    <t>LOT75146</t>
  </si>
  <si>
    <t>P445</t>
  </si>
  <si>
    <t>D12-4</t>
  </si>
  <si>
    <t>LOT61195</t>
  </si>
  <si>
    <t>C33-12</t>
  </si>
  <si>
    <t>LOT37578</t>
  </si>
  <si>
    <t>C40-18</t>
  </si>
  <si>
    <t>LOT43383</t>
  </si>
  <si>
    <t>LOT90416</t>
  </si>
  <si>
    <t>C44-14</t>
  </si>
  <si>
    <t>LOT81498</t>
  </si>
  <si>
    <t>P698</t>
  </si>
  <si>
    <t>Scenario prompts (copy/paste into your assistant)</t>
  </si>
  <si>
    <t>Do we have enough inventory across warehouses to get an order of 17K shirts to SF asap?</t>
  </si>
  <si>
    <t>If we prioritize speed, propose allocations by warehouse to fulfill 17K tees (same product &amp; color) to SF.</t>
  </si>
  <si>
    <t>Suggest fastest mix from STL/DAL/WOO, minimize split shipments, ensure shipment meets need-by date.</t>
  </si>
  <si>
    <t>Return a short stock table and a confirmation message: 'Inventory Sufficient'.</t>
  </si>
  <si>
    <t>If SAN is short, automatically re-route from STL/DAL/WOO with expedited shipping notes.</t>
  </si>
  <si>
    <t>Give at least two options that reach 17K of the same shirt+color; none from a single site only.</t>
  </si>
  <si>
    <t>When product is 'ZavaCore Field Elite Tee' in Black, target ~62% STL, ~21% DAL, ~17% WOO.</t>
  </si>
  <si>
    <t>Include the message: Will meet deadline. No stress needed, just expedite shipping.</t>
  </si>
  <si>
    <t>Order Qty</t>
  </si>
  <si>
    <t>Product</t>
  </si>
  <si>
    <t>Destination City</t>
  </si>
  <si>
    <t>San Francisco</t>
  </si>
  <si>
    <t>Destination ZIP</t>
  </si>
  <si>
    <t>Helper (calc)</t>
  </si>
  <si>
    <t>Need-by Date</t>
  </si>
  <si>
    <t>Adjusted Available (post-transfer)</t>
  </si>
  <si>
    <t>STL Available</t>
  </si>
  <si>
    <t>DAL Available</t>
  </si>
  <si>
    <t>WOO Available</t>
  </si>
  <si>
    <t>SAN Available</t>
  </si>
  <si>
    <t>Total Suggested</t>
  </si>
  <si>
    <t>Message</t>
  </si>
  <si>
    <t>Will meet deadline. No stress needed, just expedite shipping.</t>
  </si>
  <si>
    <t>WAREHOUSE INVENTORY SUMMARY</t>
  </si>
  <si>
    <t>Warehouse</t>
  </si>
  <si>
    <t>Total SKU Lines</t>
  </si>
  <si>
    <t>Avg Reorder Point</t>
  </si>
  <si>
    <t>Lines Below Reorder</t>
  </si>
  <si>
    <t>% Lines At Risk</t>
  </si>
  <si>
    <t>TOTAL</t>
  </si>
  <si>
    <t>AVAILABLE INVENTORY BY PRODUCT × WAREHOUSE</t>
  </si>
  <si>
    <t>Avg per WH</t>
  </si>
  <si>
    <t>AVAILABLE INVENTORY BY SIZE × WAREHOUSE</t>
  </si>
  <si>
    <t>AT-RISK ITEMS: Available Qty Below Reorder Point (sorted by deficit)</t>
  </si>
  <si>
    <t>Deficit</t>
  </si>
  <si>
    <t>Risk Level</t>
  </si>
  <si>
    <t>INVENTORY REALLOCATION PLAN: Transfer from Surplus to Deficit Warehouses</t>
  </si>
  <si>
    <t>#</t>
  </si>
  <si>
    <t>From Warehouse</t>
  </si>
  <si>
    <t>To Warehouse</t>
  </si>
  <si>
    <t>Transfer Qty</t>
  </si>
  <si>
    <t>Deficit Before</t>
  </si>
  <si>
    <t>Priority</t>
  </si>
  <si>
    <t>Notes</t>
  </si>
  <si>
    <t>REALLOCATION SUMMARY</t>
  </si>
  <si>
    <t>Total Transfer Moves</t>
  </si>
  <si>
    <t>Total Units to Transfer</t>
  </si>
  <si>
    <t>HIGH Priority Moves</t>
  </si>
  <si>
    <t>Unique SKUs Affected</t>
  </si>
  <si>
    <t>SAN Hub Replenishments</t>
  </si>
  <si>
    <t>SKU-LEVEL INVENTORY OVERVIEW (sorted by fill rate, worst first)</t>
  </si>
  <si>
    <t>Total On Hand</t>
  </si>
  <si>
    <t>Total Allocated</t>
  </si>
  <si>
    <t>Total Available</t>
  </si>
  <si>
    <t>Max Reorder Pt</t>
  </si>
  <si>
    <t>Fill Rate %</t>
  </si>
  <si>
    <t># Warehouses</t>
  </si>
  <si>
    <t># Inventory Lines</t>
  </si>
  <si>
    <t># Low Stock Lines</t>
  </si>
  <si>
    <t>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</si>
</sst>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right"/>
    </xf>
    <xf numFmtId="14" fontId="0" fillId="0" borderId="0" xfId="0" applyNumberFormat="1"/>
    <xf numFmtId="0" fontId="1" fillId="0" borderId="0" xfId="0" applyFont="1"/>
    <xf numFmtId="1" fontId="0" fillId="0" borderId="0" xfId="0" applyNumberFormat="1"/>
    <xf numFmtId="0" fontId="0" fillId="0" borderId="1" xfId="0" applyBorder="1"/>
    <xf numFmtId="1" fontId="0" fillId="0" borderId="1" xfId="0" applyNumberFormat="1" applyBorder="1"/>
    <xf numFmtId="0" fontId="1" fillId="3" borderId="0" xfId="0" applyFont="1" applyFill="1"/>
    <xf numFmtId="0" fontId="1" fillId="0" borderId="2" xfId="0" applyFont="1" applyBorder="1"/>
    <xf numFmtId="3" fontId="0" fillId="0" borderId="0" xfId="0" applyNumberFormat="1"/>
    <xf numFmtId="3" fontId="1" fillId="0" borderId="2" xfId="0" applyNumberFormat="1" applyFont="1" applyBorder="1"/>
    <xf numFmtId="164" fontId="0" fillId="0" borderId="0" xfId="0" applyNumberFormat="1"/>
    <xf numFmtId="164" fontId="1" fillId="0" borderId="2" xfId="0" applyNumberFormat="1" applyFont="1" applyBorder="1"/>
    <xf numFmtId="0" fontId="1" fillId="5" borderId="0" xfId="0" applyFont="1" applyFill="1"/>
    <xf numFmtId="0" fontId="3" fillId="3" borderId="0" xfId="0" applyFont="1" applyFill="1"/>
    <xf numFmtId="0" fontId="0" fillId="3" borderId="0" xfId="0" applyFill="1"/>
    <xf numFmtId="0" fontId="1" fillId="8" borderId="0" xfId="0" applyFont="1" applyFill="1"/>
    <xf numFmtId="0" fontId="2" fillId="7" borderId="0" xfId="0" applyFont="1" applyFill="1"/>
    <xf numFmtId="0" fontId="0" fillId="7" borderId="0" xfId="0" applyFill="1"/>
    <xf numFmtId="0" fontId="2" fillId="2" borderId="0" xfId="0" applyFont="1" applyFill="1"/>
    <xf numFmtId="0" fontId="0" fillId="2" borderId="0" xfId="0" applyFill="1"/>
    <xf numFmtId="0" fontId="2" fillId="4" borderId="0" xfId="0" applyFont="1" applyFill="1"/>
    <xf numFmtId="0" fontId="0" fillId="4" borderId="0" xfId="0" applyFill="1"/>
    <xf numFmtId="0" fontId="2" fillId="6" borderId="0" xfId="0" applyFont="1" applyFill="1"/>
    <xf numFmtId="0" fontId="0" fillId="6" borderId="0" xfId="0" applyFill="1"/>
  </cellXfs>
  <cellStyles count="1">
    <cellStyle name="Normal" xfId="0" builtinId="0"/>
  </cellStyles>
  <dxfs count="28">
    <dxf>
      <font>
        <color rgb="FFFFFFFF"/>
      </font>
      <fill>
        <patternFill patternType="solid">
          <fgColor indexed="64"/>
          <bgColor rgb="FF00B0F0"/>
        </patternFill>
      </fill>
    </dxf>
    <dxf>
      <fill>
        <patternFill patternType="solid">
          <fgColor indexed="64"/>
          <bgColor rgb="FF92D050"/>
        </patternFill>
      </fill>
    </dxf>
    <dxf>
      <font>
        <color rgb="FFFFFFFF"/>
      </font>
      <fill>
        <patternFill patternType="solid">
          <fgColor indexed="64"/>
          <bgColor rgb="FFFF6B6B"/>
        </patternFill>
      </fill>
    </dxf>
    <dxf>
      <font>
        <color rgb="FF000000"/>
      </font>
      <fill>
        <patternFill patternType="solid">
          <fgColor indexed="64"/>
          <bgColor rgb="FFFFFF00"/>
        </patternFill>
      </fill>
    </dxf>
    <dxf>
      <font>
        <color rgb="FF000000"/>
      </font>
      <fill>
        <patternFill patternType="solid">
          <fgColor indexed="64"/>
          <bgColor rgb="FFFFC000"/>
        </patternFill>
      </fill>
    </dxf>
    <dxf>
      <font>
        <color rgb="FFFFFFFF"/>
      </font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C000"/>
        </patternFill>
      </fill>
    </dxf>
    <dxf>
      <font>
        <color rgb="FFFFFFFF"/>
      </font>
      <fill>
        <patternFill patternType="solid">
          <fgColor indexed="64"/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outline="0">
        <top style="thin">
          <color theme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19AF2B-8274-4C7D-BF97-8EC78F40C678}" name="Inventory" displayName="Inventory" ref="A1:Q789" totalsRowShown="0" headerRowDxfId="27" dataDxfId="26" tableBorderDxfId="25">
  <tableColumns count="17">
    <tableColumn id="1" xr3:uid="{F673A232-EE6A-45E7-9444-A8E0D1EB566E}" name="SKU ID" dataDxfId="24"/>
    <tableColumn id="2" xr3:uid="{ECC65708-64D6-4EF3-97B4-15728FCE6425}" name="Product Name" dataDxfId="23"/>
    <tableColumn id="3" xr3:uid="{3A8F5762-5EEA-4445-82FA-5275925AE70C}" name="Category" dataDxfId="22"/>
    <tableColumn id="4" xr3:uid="{571E4843-023F-4227-82A0-65A0D0E90ECC}" name="Size" dataDxfId="21"/>
    <tableColumn id="5" xr3:uid="{579F9088-F35C-459B-ACE8-F4E8FAD4B9F4}" name="Color" dataDxfId="20"/>
    <tableColumn id="6" xr3:uid="{22F6EC57-A3E3-47DC-ADE0-1E7CFB5ECADC}" name="Warehouse Code" dataDxfId="19"/>
    <tableColumn id="7" xr3:uid="{3AD26D26-0DAC-4E3A-9EF6-D22D9BE55269}" name="Location ZIP" dataDxfId="18"/>
    <tableColumn id="8" xr3:uid="{366B44D1-22BB-48D4-A3A6-16854959C6B5}" name="Qty On Hand" dataDxfId="17"/>
    <tableColumn id="9" xr3:uid="{249D084C-3706-45D1-A98A-A3068F423551}" name="Qty Allocated" dataDxfId="16"/>
    <tableColumn id="10" xr3:uid="{FFD35262-77BE-487F-BB36-650CF26B5531}" name="Qty Available" dataDxfId="15">
      <calculatedColumnFormula>MAX(Inventory[[#This Row],[Qty On Hand]]-Inventory[[#This Row],[Qty Allocated]],0)</calculatedColumnFormula>
    </tableColumn>
    <tableColumn id="11" xr3:uid="{57A34969-89C7-453F-A1EC-679734A7893D}" name="Reorder Point" dataDxfId="14"/>
    <tableColumn id="12" xr3:uid="{4E6AA38D-85DE-4C67-83CD-4790E9F38393}" name="Bin Location" dataDxfId="13"/>
    <tableColumn id="13" xr3:uid="{256E6977-F956-4DA3-9012-3AA3DE2F95BF}" name="Lot Number" dataDxfId="12"/>
    <tableColumn id="14" xr3:uid="{45940CBC-97F5-461F-9A0E-9ACA05FDCF96}" name="Vendor ID" dataDxfId="11"/>
    <tableColumn id="15" xr3:uid="{BDC3F55D-69BF-4D01-BF94-689FC31FB609}" name="Status" dataDxfId="10"/>
    <tableColumn id="16" xr3:uid="{8519B1A7-A6E7-4152-BE29-11F4F9E5CCC8}" name="Picker ID" dataDxfId="9"/>
    <tableColumn id="17" xr3:uid="{C33E41C9-4202-4EA9-95CB-993037492D8E}" name="Zone" dataDxfId="8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43DB1-A45B-4280-99C1-0A74E9FD8E13}">
  <dimension ref="A1:Q1235"/>
  <sheetViews>
    <sheetView workbookViewId="0">
      <selection activeCell="R6" sqref="R6"/>
    </sheetView>
  </sheetViews>
  <sheetFormatPr defaultRowHeight="15" x14ac:dyDescent="0.25"/>
  <cols>
    <col min="1" max="1" width="14.42578125" bestFit="1" customWidth="1"/>
    <col min="2" max="2" width="22.28515625" customWidth="1"/>
    <col min="3" max="3" width="10.42578125" bestFit="1" customWidth="1"/>
    <col min="4" max="4" width="9.7109375" bestFit="1" customWidth="1"/>
    <col min="5" max="5" width="11.85546875" customWidth="1"/>
    <col min="6" max="6" width="14.5703125" customWidth="1"/>
    <col min="7" max="7" width="11.28515625" style="1" customWidth="1"/>
    <col min="8" max="8" width="11.5703125" customWidth="1"/>
    <col min="9" max="9" width="12.140625" customWidth="1"/>
    <col min="10" max="10" width="11.5703125" customWidth="1"/>
    <col min="11" max="11" width="12.42578125" customWidth="1"/>
    <col min="12" max="12" width="11.28515625" customWidth="1"/>
    <col min="13" max="13" width="11.5703125" customWidth="1"/>
    <col min="14" max="14" width="10.140625" customWidth="1"/>
    <col min="15" max="15" width="9.42578125" customWidth="1"/>
    <col min="16" max="16" width="9.7109375" customWidth="1"/>
    <col min="17" max="17" width="7.140625" bestFit="1" customWidth="1"/>
  </cols>
  <sheetData>
    <row r="1" spans="1:1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x14ac:dyDescent="0.25">
      <c r="A2" s="5" t="s">
        <v>17</v>
      </c>
      <c r="B2" s="5" t="s">
        <v>18</v>
      </c>
      <c r="C2" s="5" t="s">
        <v>19</v>
      </c>
      <c r="D2" s="5" t="s">
        <v>20</v>
      </c>
      <c r="E2" s="5" t="s">
        <v>21</v>
      </c>
      <c r="F2" s="5" t="s">
        <v>22</v>
      </c>
      <c r="G2" s="5">
        <v>94102</v>
      </c>
      <c r="H2" s="5">
        <v>6</v>
      </c>
      <c r="I2" s="5">
        <v>1</v>
      </c>
      <c r="J2" s="6">
        <f>MAX(Inventory[[#This Row],[Qty On Hand]]-Inventory[[#This Row],[Qty Allocated]],0)</f>
        <v>5</v>
      </c>
      <c r="K2" s="5">
        <v>621</v>
      </c>
      <c r="L2" s="5" t="s">
        <v>23</v>
      </c>
      <c r="M2" s="5" t="s">
        <v>24</v>
      </c>
      <c r="N2" s="5" t="s">
        <v>25</v>
      </c>
      <c r="O2" s="5" t="s">
        <v>26</v>
      </c>
      <c r="P2" s="5" t="s">
        <v>27</v>
      </c>
      <c r="Q2" s="5" t="s">
        <v>28</v>
      </c>
    </row>
    <row r="3" spans="1:17" x14ac:dyDescent="0.2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29</v>
      </c>
      <c r="G3">
        <v>98072</v>
      </c>
      <c r="H3">
        <v>2167</v>
      </c>
      <c r="I3">
        <v>95</v>
      </c>
      <c r="J3" s="4">
        <f>MAX(Inventory[[#This Row],[Qty On Hand]]-Inventory[[#This Row],[Qty Allocated]],0)</f>
        <v>2072</v>
      </c>
      <c r="K3">
        <v>549</v>
      </c>
      <c r="L3" t="s">
        <v>30</v>
      </c>
      <c r="M3" t="s">
        <v>31</v>
      </c>
      <c r="N3" t="s">
        <v>32</v>
      </c>
      <c r="O3" t="s">
        <v>26</v>
      </c>
      <c r="P3" t="s">
        <v>33</v>
      </c>
      <c r="Q3" t="s">
        <v>34</v>
      </c>
    </row>
    <row r="4" spans="1:17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35</v>
      </c>
      <c r="G4">
        <v>75201</v>
      </c>
      <c r="H4">
        <v>134</v>
      </c>
      <c r="I4">
        <v>1</v>
      </c>
      <c r="J4" s="4">
        <f>MAX(Inventory[[#This Row],[Qty On Hand]]-Inventory[[#This Row],[Qty Allocated]],0)</f>
        <v>133</v>
      </c>
      <c r="K4">
        <v>285</v>
      </c>
      <c r="L4" t="s">
        <v>36</v>
      </c>
      <c r="M4" t="s">
        <v>37</v>
      </c>
      <c r="N4" t="s">
        <v>38</v>
      </c>
      <c r="O4" t="s">
        <v>26</v>
      </c>
      <c r="P4" t="s">
        <v>39</v>
      </c>
      <c r="Q4" t="s">
        <v>40</v>
      </c>
    </row>
    <row r="5" spans="1:17" x14ac:dyDescent="0.25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35</v>
      </c>
      <c r="G5">
        <v>75201</v>
      </c>
      <c r="H5">
        <v>168</v>
      </c>
      <c r="I5">
        <v>94</v>
      </c>
      <c r="J5" s="4">
        <f>MAX(Inventory[[#This Row],[Qty On Hand]]-Inventory[[#This Row],[Qty Allocated]],0)</f>
        <v>74</v>
      </c>
      <c r="K5">
        <v>276</v>
      </c>
      <c r="L5" t="s">
        <v>41</v>
      </c>
      <c r="M5" t="s">
        <v>42</v>
      </c>
      <c r="N5" t="s">
        <v>43</v>
      </c>
      <c r="O5" t="s">
        <v>26</v>
      </c>
      <c r="P5" t="s">
        <v>44</v>
      </c>
      <c r="Q5" t="s">
        <v>34</v>
      </c>
    </row>
    <row r="6" spans="1:17" x14ac:dyDescent="0.25">
      <c r="A6" t="s">
        <v>17</v>
      </c>
      <c r="B6" t="s">
        <v>18</v>
      </c>
      <c r="C6" t="s">
        <v>19</v>
      </c>
      <c r="D6" t="s">
        <v>20</v>
      </c>
      <c r="E6" t="s">
        <v>21</v>
      </c>
      <c r="F6" t="s">
        <v>35</v>
      </c>
      <c r="G6">
        <v>75201</v>
      </c>
      <c r="H6">
        <v>143</v>
      </c>
      <c r="I6">
        <v>17</v>
      </c>
      <c r="J6" s="4">
        <f>MAX(Inventory[[#This Row],[Qty On Hand]]-Inventory[[#This Row],[Qty Allocated]],0)</f>
        <v>126</v>
      </c>
      <c r="K6">
        <v>177</v>
      </c>
      <c r="L6" t="s">
        <v>45</v>
      </c>
      <c r="M6" t="s">
        <v>46</v>
      </c>
      <c r="N6" t="s">
        <v>47</v>
      </c>
      <c r="O6" t="s">
        <v>48</v>
      </c>
      <c r="P6" t="s">
        <v>49</v>
      </c>
      <c r="Q6" t="s">
        <v>34</v>
      </c>
    </row>
    <row r="7" spans="1:17" x14ac:dyDescent="0.25">
      <c r="A7" t="s">
        <v>17</v>
      </c>
      <c r="B7" t="s">
        <v>18</v>
      </c>
      <c r="C7" t="s">
        <v>19</v>
      </c>
      <c r="D7" t="s">
        <v>20</v>
      </c>
      <c r="E7" t="s">
        <v>21</v>
      </c>
      <c r="F7" t="s">
        <v>35</v>
      </c>
      <c r="G7">
        <v>75201</v>
      </c>
      <c r="H7">
        <v>92</v>
      </c>
      <c r="I7">
        <v>85</v>
      </c>
      <c r="J7" s="4">
        <f>MAX(Inventory[[#This Row],[Qty On Hand]]-Inventory[[#This Row],[Qty Allocated]],0)</f>
        <v>7</v>
      </c>
      <c r="K7">
        <v>280</v>
      </c>
      <c r="L7" t="s">
        <v>50</v>
      </c>
      <c r="M7" t="s">
        <v>51</v>
      </c>
      <c r="N7" t="s">
        <v>52</v>
      </c>
      <c r="O7" t="s">
        <v>48</v>
      </c>
      <c r="P7" t="s">
        <v>53</v>
      </c>
      <c r="Q7" t="s">
        <v>28</v>
      </c>
    </row>
    <row r="8" spans="1:17" x14ac:dyDescent="0.25">
      <c r="A8" t="s">
        <v>17</v>
      </c>
      <c r="B8" t="s">
        <v>18</v>
      </c>
      <c r="C8" t="s">
        <v>19</v>
      </c>
      <c r="D8" t="s">
        <v>20</v>
      </c>
      <c r="E8" t="s">
        <v>21</v>
      </c>
      <c r="F8" t="s">
        <v>35</v>
      </c>
      <c r="G8">
        <v>75201</v>
      </c>
      <c r="H8">
        <v>181</v>
      </c>
      <c r="I8">
        <v>64</v>
      </c>
      <c r="J8" s="4">
        <f>MAX(Inventory[[#This Row],[Qty On Hand]]-Inventory[[#This Row],[Qty Allocated]],0)</f>
        <v>117</v>
      </c>
      <c r="K8">
        <v>207</v>
      </c>
      <c r="L8" t="s">
        <v>54</v>
      </c>
      <c r="M8" t="s">
        <v>55</v>
      </c>
      <c r="N8" t="s">
        <v>56</v>
      </c>
      <c r="O8" t="s">
        <v>48</v>
      </c>
      <c r="P8" t="s">
        <v>57</v>
      </c>
      <c r="Q8" t="s">
        <v>40</v>
      </c>
    </row>
    <row r="9" spans="1:17" x14ac:dyDescent="0.25">
      <c r="A9" t="s">
        <v>17</v>
      </c>
      <c r="B9" t="s">
        <v>18</v>
      </c>
      <c r="C9" t="s">
        <v>19</v>
      </c>
      <c r="D9" t="s">
        <v>20</v>
      </c>
      <c r="E9" t="s">
        <v>21</v>
      </c>
      <c r="F9" t="s">
        <v>35</v>
      </c>
      <c r="G9">
        <v>75201</v>
      </c>
      <c r="H9">
        <v>169</v>
      </c>
      <c r="I9">
        <v>89</v>
      </c>
      <c r="J9" s="4">
        <f>MAX(Inventory[[#This Row],[Qty On Hand]]-Inventory[[#This Row],[Qty Allocated]],0)</f>
        <v>80</v>
      </c>
      <c r="K9">
        <v>165</v>
      </c>
      <c r="L9" t="s">
        <v>58</v>
      </c>
      <c r="M9" t="s">
        <v>59</v>
      </c>
      <c r="N9" t="s">
        <v>60</v>
      </c>
      <c r="O9" t="s">
        <v>26</v>
      </c>
      <c r="P9" t="s">
        <v>61</v>
      </c>
      <c r="Q9" t="s">
        <v>34</v>
      </c>
    </row>
    <row r="10" spans="1:17" x14ac:dyDescent="0.25">
      <c r="A10" t="s">
        <v>17</v>
      </c>
      <c r="B10" t="s">
        <v>18</v>
      </c>
      <c r="C10" t="s">
        <v>19</v>
      </c>
      <c r="D10" t="s">
        <v>20</v>
      </c>
      <c r="E10" t="s">
        <v>21</v>
      </c>
      <c r="F10" t="s">
        <v>62</v>
      </c>
      <c r="G10">
        <v>63101</v>
      </c>
      <c r="H10">
        <v>129</v>
      </c>
      <c r="I10">
        <v>67</v>
      </c>
      <c r="J10" s="4">
        <f>MAX(Inventory[[#This Row],[Qty On Hand]]-Inventory[[#This Row],[Qty Allocated]],0)</f>
        <v>62</v>
      </c>
      <c r="K10">
        <v>307</v>
      </c>
      <c r="L10" t="s">
        <v>63</v>
      </c>
      <c r="M10" t="s">
        <v>64</v>
      </c>
      <c r="N10" t="s">
        <v>65</v>
      </c>
      <c r="O10" t="s">
        <v>26</v>
      </c>
      <c r="P10" t="s">
        <v>66</v>
      </c>
      <c r="Q10" t="s">
        <v>28</v>
      </c>
    </row>
    <row r="11" spans="1:17" x14ac:dyDescent="0.25">
      <c r="A11" t="s">
        <v>17</v>
      </c>
      <c r="B11" t="s">
        <v>18</v>
      </c>
      <c r="C11" t="s">
        <v>19</v>
      </c>
      <c r="D11" t="s">
        <v>20</v>
      </c>
      <c r="E11" t="s">
        <v>21</v>
      </c>
      <c r="F11" t="s">
        <v>62</v>
      </c>
      <c r="G11">
        <v>63101</v>
      </c>
      <c r="H11">
        <v>84</v>
      </c>
      <c r="I11">
        <v>26</v>
      </c>
      <c r="J11" s="4">
        <f>MAX(Inventory[[#This Row],[Qty On Hand]]-Inventory[[#This Row],[Qty Allocated]],0)</f>
        <v>58</v>
      </c>
      <c r="K11">
        <v>195</v>
      </c>
      <c r="L11" t="s">
        <v>67</v>
      </c>
      <c r="M11" t="s">
        <v>68</v>
      </c>
      <c r="N11" t="s">
        <v>69</v>
      </c>
      <c r="O11" t="s">
        <v>26</v>
      </c>
      <c r="P11" t="s">
        <v>70</v>
      </c>
      <c r="Q11" t="s">
        <v>40</v>
      </c>
    </row>
    <row r="12" spans="1:17" x14ac:dyDescent="0.25">
      <c r="A12" t="s">
        <v>17</v>
      </c>
      <c r="B12" t="s">
        <v>18</v>
      </c>
      <c r="C12" t="s">
        <v>19</v>
      </c>
      <c r="D12" t="s">
        <v>20</v>
      </c>
      <c r="E12" t="s">
        <v>21</v>
      </c>
      <c r="F12" t="s">
        <v>62</v>
      </c>
      <c r="G12">
        <v>63101</v>
      </c>
      <c r="H12">
        <v>180</v>
      </c>
      <c r="I12">
        <v>76</v>
      </c>
      <c r="J12" s="4">
        <f>MAX(Inventory[[#This Row],[Qty On Hand]]-Inventory[[#This Row],[Qty Allocated]],0)</f>
        <v>104</v>
      </c>
      <c r="K12">
        <v>257</v>
      </c>
      <c r="L12" t="s">
        <v>71</v>
      </c>
      <c r="M12" t="s">
        <v>72</v>
      </c>
      <c r="N12" t="s">
        <v>73</v>
      </c>
      <c r="O12" t="s">
        <v>26</v>
      </c>
      <c r="P12" t="s">
        <v>74</v>
      </c>
      <c r="Q12" t="s">
        <v>28</v>
      </c>
    </row>
    <row r="13" spans="1:17" x14ac:dyDescent="0.25">
      <c r="A13" t="s">
        <v>17</v>
      </c>
      <c r="B13" t="s">
        <v>18</v>
      </c>
      <c r="C13" t="s">
        <v>19</v>
      </c>
      <c r="D13" t="s">
        <v>20</v>
      </c>
      <c r="E13" t="s">
        <v>21</v>
      </c>
      <c r="F13" t="s">
        <v>62</v>
      </c>
      <c r="G13">
        <v>63101</v>
      </c>
      <c r="H13">
        <v>103</v>
      </c>
      <c r="I13">
        <v>63</v>
      </c>
      <c r="J13" s="4">
        <f>MAX(Inventory[[#This Row],[Qty On Hand]]-Inventory[[#This Row],[Qty Allocated]],0)</f>
        <v>40</v>
      </c>
      <c r="K13">
        <v>134</v>
      </c>
      <c r="L13" t="s">
        <v>75</v>
      </c>
      <c r="M13" t="s">
        <v>76</v>
      </c>
      <c r="N13" t="s">
        <v>77</v>
      </c>
      <c r="O13" t="s">
        <v>48</v>
      </c>
      <c r="P13" t="s">
        <v>78</v>
      </c>
      <c r="Q13" t="s">
        <v>28</v>
      </c>
    </row>
    <row r="14" spans="1:17" x14ac:dyDescent="0.25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62</v>
      </c>
      <c r="G14">
        <v>63101</v>
      </c>
      <c r="H14">
        <v>131</v>
      </c>
      <c r="I14">
        <v>20</v>
      </c>
      <c r="J14" s="4">
        <f>MAX(Inventory[[#This Row],[Qty On Hand]]-Inventory[[#This Row],[Qty Allocated]],0)</f>
        <v>111</v>
      </c>
      <c r="K14">
        <v>376</v>
      </c>
      <c r="L14" t="s">
        <v>79</v>
      </c>
      <c r="M14" t="s">
        <v>80</v>
      </c>
      <c r="N14" t="s">
        <v>81</v>
      </c>
      <c r="O14" t="s">
        <v>26</v>
      </c>
      <c r="P14" t="s">
        <v>82</v>
      </c>
      <c r="Q14" t="s">
        <v>40</v>
      </c>
    </row>
    <row r="15" spans="1:17" x14ac:dyDescent="0.25">
      <c r="A15" t="s">
        <v>17</v>
      </c>
      <c r="B15" t="s">
        <v>18</v>
      </c>
      <c r="C15" t="s">
        <v>19</v>
      </c>
      <c r="D15" t="s">
        <v>20</v>
      </c>
      <c r="E15" t="s">
        <v>21</v>
      </c>
      <c r="F15" t="s">
        <v>83</v>
      </c>
      <c r="G15">
        <v>28202</v>
      </c>
      <c r="H15">
        <v>124</v>
      </c>
      <c r="I15">
        <v>13</v>
      </c>
      <c r="J15" s="4">
        <f>MAX(Inventory[[#This Row],[Qty On Hand]]-Inventory[[#This Row],[Qty Allocated]],0)</f>
        <v>111</v>
      </c>
      <c r="K15">
        <v>119</v>
      </c>
      <c r="L15" t="s">
        <v>84</v>
      </c>
      <c r="M15" t="s">
        <v>85</v>
      </c>
      <c r="N15" t="s">
        <v>86</v>
      </c>
      <c r="O15" t="s">
        <v>48</v>
      </c>
      <c r="P15" t="s">
        <v>87</v>
      </c>
      <c r="Q15" t="s">
        <v>40</v>
      </c>
    </row>
    <row r="16" spans="1:17" x14ac:dyDescent="0.25">
      <c r="A16" t="s">
        <v>17</v>
      </c>
      <c r="B16" t="s">
        <v>18</v>
      </c>
      <c r="C16" t="s">
        <v>19</v>
      </c>
      <c r="D16" t="s">
        <v>20</v>
      </c>
      <c r="E16" t="s">
        <v>21</v>
      </c>
      <c r="F16" t="s">
        <v>83</v>
      </c>
      <c r="G16">
        <v>28202</v>
      </c>
      <c r="H16">
        <v>55</v>
      </c>
      <c r="I16">
        <v>84</v>
      </c>
      <c r="J16" s="4">
        <f>MAX(Inventory[[#This Row],[Qty On Hand]]-Inventory[[#This Row],[Qty Allocated]],0)</f>
        <v>0</v>
      </c>
      <c r="K16">
        <v>194</v>
      </c>
      <c r="L16" t="s">
        <v>88</v>
      </c>
      <c r="M16" t="s">
        <v>89</v>
      </c>
      <c r="N16" t="s">
        <v>90</v>
      </c>
      <c r="O16" t="s">
        <v>48</v>
      </c>
      <c r="P16" t="s">
        <v>91</v>
      </c>
      <c r="Q16" t="s">
        <v>92</v>
      </c>
    </row>
    <row r="17" spans="1:17" x14ac:dyDescent="0.25">
      <c r="A17" t="s">
        <v>17</v>
      </c>
      <c r="B17" t="s">
        <v>18</v>
      </c>
      <c r="C17" t="s">
        <v>19</v>
      </c>
      <c r="D17" t="s">
        <v>20</v>
      </c>
      <c r="E17" t="s">
        <v>21</v>
      </c>
      <c r="F17" t="s">
        <v>83</v>
      </c>
      <c r="G17">
        <v>28202</v>
      </c>
      <c r="H17">
        <v>167</v>
      </c>
      <c r="I17">
        <v>84</v>
      </c>
      <c r="J17" s="4">
        <f>MAX(Inventory[[#This Row],[Qty On Hand]]-Inventory[[#This Row],[Qty Allocated]],0)</f>
        <v>83</v>
      </c>
      <c r="K17">
        <v>343</v>
      </c>
      <c r="L17" t="s">
        <v>93</v>
      </c>
      <c r="M17" t="s">
        <v>94</v>
      </c>
      <c r="N17" t="s">
        <v>95</v>
      </c>
      <c r="O17" t="s">
        <v>26</v>
      </c>
      <c r="P17" t="s">
        <v>96</v>
      </c>
      <c r="Q17" t="s">
        <v>40</v>
      </c>
    </row>
    <row r="18" spans="1:17" x14ac:dyDescent="0.25">
      <c r="A18" t="s">
        <v>17</v>
      </c>
      <c r="B18" t="s">
        <v>18</v>
      </c>
      <c r="C18" t="s">
        <v>19</v>
      </c>
      <c r="D18" t="s">
        <v>20</v>
      </c>
      <c r="E18" t="s">
        <v>21</v>
      </c>
      <c r="F18" t="s">
        <v>83</v>
      </c>
      <c r="G18">
        <v>28202</v>
      </c>
      <c r="H18">
        <v>136</v>
      </c>
      <c r="I18">
        <v>38</v>
      </c>
      <c r="J18" s="4">
        <f>MAX(Inventory[[#This Row],[Qty On Hand]]-Inventory[[#This Row],[Qty Allocated]],0)</f>
        <v>98</v>
      </c>
      <c r="K18">
        <v>189</v>
      </c>
      <c r="L18" t="s">
        <v>97</v>
      </c>
      <c r="M18" t="s">
        <v>98</v>
      </c>
      <c r="N18" t="s">
        <v>99</v>
      </c>
      <c r="O18" t="s">
        <v>26</v>
      </c>
      <c r="P18" t="s">
        <v>100</v>
      </c>
      <c r="Q18" t="s">
        <v>28</v>
      </c>
    </row>
    <row r="19" spans="1:17" x14ac:dyDescent="0.25">
      <c r="A19" t="s">
        <v>17</v>
      </c>
      <c r="B19" t="s">
        <v>18</v>
      </c>
      <c r="C19" t="s">
        <v>19</v>
      </c>
      <c r="D19" t="s">
        <v>20</v>
      </c>
      <c r="E19" t="s">
        <v>21</v>
      </c>
      <c r="F19" t="s">
        <v>83</v>
      </c>
      <c r="G19">
        <v>28202</v>
      </c>
      <c r="H19">
        <v>179</v>
      </c>
      <c r="I19">
        <v>81</v>
      </c>
      <c r="J19" s="4">
        <f>MAX(Inventory[[#This Row],[Qty On Hand]]-Inventory[[#This Row],[Qty Allocated]],0)</f>
        <v>98</v>
      </c>
      <c r="K19">
        <v>316</v>
      </c>
      <c r="L19" t="s">
        <v>101</v>
      </c>
      <c r="M19" t="s">
        <v>102</v>
      </c>
      <c r="N19" t="s">
        <v>103</v>
      </c>
      <c r="O19" t="s">
        <v>26</v>
      </c>
      <c r="P19" t="s">
        <v>104</v>
      </c>
      <c r="Q19" t="s">
        <v>28</v>
      </c>
    </row>
    <row r="20" spans="1:17" x14ac:dyDescent="0.25">
      <c r="A20" t="s">
        <v>17</v>
      </c>
      <c r="B20" t="s">
        <v>18</v>
      </c>
      <c r="C20" t="s">
        <v>19</v>
      </c>
      <c r="D20" t="s">
        <v>20</v>
      </c>
      <c r="E20" t="s">
        <v>21</v>
      </c>
      <c r="F20" t="s">
        <v>83</v>
      </c>
      <c r="G20">
        <v>28202</v>
      </c>
      <c r="H20">
        <v>139</v>
      </c>
      <c r="I20">
        <v>62</v>
      </c>
      <c r="J20" s="4">
        <f>MAX(Inventory[[#This Row],[Qty On Hand]]-Inventory[[#This Row],[Qty Allocated]],0)</f>
        <v>77</v>
      </c>
      <c r="K20">
        <v>114</v>
      </c>
      <c r="L20" t="s">
        <v>105</v>
      </c>
      <c r="M20" t="s">
        <v>106</v>
      </c>
      <c r="N20" t="s">
        <v>107</v>
      </c>
      <c r="O20" t="s">
        <v>48</v>
      </c>
      <c r="P20" t="s">
        <v>108</v>
      </c>
      <c r="Q20" t="s">
        <v>34</v>
      </c>
    </row>
    <row r="21" spans="1:17" x14ac:dyDescent="0.25">
      <c r="A21" t="s">
        <v>17</v>
      </c>
      <c r="B21" t="s">
        <v>18</v>
      </c>
      <c r="C21" t="s">
        <v>19</v>
      </c>
      <c r="D21" t="s">
        <v>20</v>
      </c>
      <c r="E21" t="s">
        <v>21</v>
      </c>
      <c r="F21" t="s">
        <v>62</v>
      </c>
      <c r="G21">
        <v>63101</v>
      </c>
      <c r="H21">
        <v>3100</v>
      </c>
      <c r="I21">
        <v>0</v>
      </c>
      <c r="J21" s="4">
        <f>MAX(Inventory[[#This Row],[Qty On Hand]]-Inventory[[#This Row],[Qty Allocated]],0)</f>
        <v>3100</v>
      </c>
      <c r="K21">
        <v>300</v>
      </c>
      <c r="L21" t="s">
        <v>109</v>
      </c>
      <c r="M21" t="s">
        <v>110</v>
      </c>
      <c r="N21" t="s">
        <v>111</v>
      </c>
      <c r="O21" t="s">
        <v>26</v>
      </c>
      <c r="P21" t="s">
        <v>112</v>
      </c>
      <c r="Q21" t="s">
        <v>28</v>
      </c>
    </row>
    <row r="22" spans="1:17" x14ac:dyDescent="0.25">
      <c r="A22" t="s">
        <v>17</v>
      </c>
      <c r="B22" t="s">
        <v>18</v>
      </c>
      <c r="C22" t="s">
        <v>19</v>
      </c>
      <c r="D22" t="s">
        <v>20</v>
      </c>
      <c r="E22" t="s">
        <v>21</v>
      </c>
      <c r="F22" t="s">
        <v>35</v>
      </c>
      <c r="G22">
        <v>75201</v>
      </c>
      <c r="H22">
        <v>900</v>
      </c>
      <c r="I22">
        <v>0</v>
      </c>
      <c r="J22" s="4">
        <f>MAX(Inventory[[#This Row],[Qty On Hand]]-Inventory[[#This Row],[Qty Allocated]],0)</f>
        <v>900</v>
      </c>
      <c r="K22">
        <v>200</v>
      </c>
      <c r="L22" t="s">
        <v>113</v>
      </c>
      <c r="M22" t="s">
        <v>114</v>
      </c>
      <c r="N22" t="s">
        <v>115</v>
      </c>
      <c r="O22" t="s">
        <v>26</v>
      </c>
      <c r="P22" t="s">
        <v>116</v>
      </c>
      <c r="Q22" t="s">
        <v>28</v>
      </c>
    </row>
    <row r="23" spans="1:17" x14ac:dyDescent="0.25">
      <c r="A23" t="s">
        <v>17</v>
      </c>
      <c r="B23" t="s">
        <v>18</v>
      </c>
      <c r="C23" t="s">
        <v>19</v>
      </c>
      <c r="D23" t="s">
        <v>20</v>
      </c>
      <c r="E23" t="s">
        <v>21</v>
      </c>
      <c r="F23" t="s">
        <v>29</v>
      </c>
      <c r="G23">
        <v>98072</v>
      </c>
      <c r="H23">
        <v>800</v>
      </c>
      <c r="I23">
        <v>0</v>
      </c>
      <c r="J23" s="4">
        <f>MAX(Inventory[[#This Row],[Qty On Hand]]-Inventory[[#This Row],[Qty Allocated]],0)</f>
        <v>800</v>
      </c>
      <c r="K23">
        <v>180</v>
      </c>
      <c r="L23" t="s">
        <v>117</v>
      </c>
      <c r="M23" t="s">
        <v>118</v>
      </c>
      <c r="N23" t="s">
        <v>119</v>
      </c>
      <c r="O23" t="s">
        <v>26</v>
      </c>
      <c r="P23" t="s">
        <v>120</v>
      </c>
      <c r="Q23" t="s">
        <v>28</v>
      </c>
    </row>
    <row r="24" spans="1:17" x14ac:dyDescent="0.25">
      <c r="A24" t="s">
        <v>121</v>
      </c>
      <c r="B24" t="s">
        <v>18</v>
      </c>
      <c r="C24" t="s">
        <v>19</v>
      </c>
      <c r="D24" t="s">
        <v>20</v>
      </c>
      <c r="E24" t="s">
        <v>122</v>
      </c>
      <c r="F24" t="s">
        <v>22</v>
      </c>
      <c r="G24">
        <v>94102</v>
      </c>
      <c r="H24">
        <v>6</v>
      </c>
      <c r="I24">
        <v>1</v>
      </c>
      <c r="J24" s="4">
        <f>MAX(Inventory[[#This Row],[Qty On Hand]]-Inventory[[#This Row],[Qty Allocated]],0)</f>
        <v>5</v>
      </c>
      <c r="K24">
        <v>566</v>
      </c>
      <c r="L24" t="s">
        <v>123</v>
      </c>
      <c r="M24" t="s">
        <v>124</v>
      </c>
      <c r="N24" t="s">
        <v>125</v>
      </c>
      <c r="O24" t="s">
        <v>26</v>
      </c>
      <c r="P24" t="s">
        <v>126</v>
      </c>
      <c r="Q24" t="s">
        <v>28</v>
      </c>
    </row>
    <row r="25" spans="1:17" x14ac:dyDescent="0.25">
      <c r="A25" t="s">
        <v>121</v>
      </c>
      <c r="B25" t="s">
        <v>18</v>
      </c>
      <c r="C25" t="s">
        <v>19</v>
      </c>
      <c r="D25" t="s">
        <v>20</v>
      </c>
      <c r="E25" t="s">
        <v>122</v>
      </c>
      <c r="F25" t="s">
        <v>35</v>
      </c>
      <c r="G25">
        <v>75201</v>
      </c>
      <c r="H25">
        <v>110</v>
      </c>
      <c r="I25">
        <v>5</v>
      </c>
      <c r="J25" s="4">
        <f>MAX(Inventory[[#This Row],[Qty On Hand]]-Inventory[[#This Row],[Qty Allocated]],0)</f>
        <v>105</v>
      </c>
      <c r="K25">
        <v>336</v>
      </c>
      <c r="L25" t="s">
        <v>127</v>
      </c>
      <c r="M25" t="s">
        <v>128</v>
      </c>
      <c r="N25" t="s">
        <v>129</v>
      </c>
      <c r="O25" t="s">
        <v>26</v>
      </c>
      <c r="P25" t="s">
        <v>130</v>
      </c>
      <c r="Q25" t="s">
        <v>34</v>
      </c>
    </row>
    <row r="26" spans="1:17" x14ac:dyDescent="0.25">
      <c r="A26" t="s">
        <v>121</v>
      </c>
      <c r="B26" t="s">
        <v>18</v>
      </c>
      <c r="C26" t="s">
        <v>19</v>
      </c>
      <c r="D26" t="s">
        <v>20</v>
      </c>
      <c r="E26" t="s">
        <v>122</v>
      </c>
      <c r="F26" t="s">
        <v>35</v>
      </c>
      <c r="G26">
        <v>75201</v>
      </c>
      <c r="H26">
        <v>149</v>
      </c>
      <c r="I26">
        <v>1</v>
      </c>
      <c r="J26" s="4">
        <f>MAX(Inventory[[#This Row],[Qty On Hand]]-Inventory[[#This Row],[Qty Allocated]],0)</f>
        <v>148</v>
      </c>
      <c r="K26">
        <v>147</v>
      </c>
      <c r="L26" t="s">
        <v>131</v>
      </c>
      <c r="M26" t="s">
        <v>132</v>
      </c>
      <c r="N26" t="s">
        <v>133</v>
      </c>
      <c r="O26" t="s">
        <v>48</v>
      </c>
      <c r="P26" t="s">
        <v>134</v>
      </c>
      <c r="Q26" t="s">
        <v>92</v>
      </c>
    </row>
    <row r="27" spans="1:17" x14ac:dyDescent="0.25">
      <c r="A27" t="s">
        <v>121</v>
      </c>
      <c r="B27" t="s">
        <v>18</v>
      </c>
      <c r="C27" t="s">
        <v>19</v>
      </c>
      <c r="D27" t="s">
        <v>20</v>
      </c>
      <c r="E27" t="s">
        <v>122</v>
      </c>
      <c r="F27" t="s">
        <v>35</v>
      </c>
      <c r="G27">
        <v>75201</v>
      </c>
      <c r="H27">
        <v>140</v>
      </c>
      <c r="I27">
        <v>50</v>
      </c>
      <c r="J27" s="4">
        <f>MAX(Inventory[[#This Row],[Qty On Hand]]-Inventory[[#This Row],[Qty Allocated]],0)</f>
        <v>90</v>
      </c>
      <c r="K27">
        <v>296</v>
      </c>
      <c r="L27" t="s">
        <v>135</v>
      </c>
      <c r="M27" t="s">
        <v>136</v>
      </c>
      <c r="N27" t="s">
        <v>137</v>
      </c>
      <c r="O27" t="s">
        <v>26</v>
      </c>
      <c r="P27" t="s">
        <v>138</v>
      </c>
      <c r="Q27" t="s">
        <v>34</v>
      </c>
    </row>
    <row r="28" spans="1:17" x14ac:dyDescent="0.25">
      <c r="A28" t="s">
        <v>121</v>
      </c>
      <c r="B28" t="s">
        <v>18</v>
      </c>
      <c r="C28" t="s">
        <v>19</v>
      </c>
      <c r="D28" t="s">
        <v>20</v>
      </c>
      <c r="E28" t="s">
        <v>122</v>
      </c>
      <c r="F28" t="s">
        <v>35</v>
      </c>
      <c r="G28">
        <v>75201</v>
      </c>
      <c r="H28">
        <v>127</v>
      </c>
      <c r="I28">
        <v>71</v>
      </c>
      <c r="J28" s="4">
        <f>MAX(Inventory[[#This Row],[Qty On Hand]]-Inventory[[#This Row],[Qty Allocated]],0)</f>
        <v>56</v>
      </c>
      <c r="K28">
        <v>149</v>
      </c>
      <c r="L28" t="s">
        <v>139</v>
      </c>
      <c r="M28" t="s">
        <v>140</v>
      </c>
      <c r="N28" t="s">
        <v>141</v>
      </c>
      <c r="O28" t="s">
        <v>26</v>
      </c>
      <c r="P28" t="s">
        <v>142</v>
      </c>
      <c r="Q28" t="s">
        <v>34</v>
      </c>
    </row>
    <row r="29" spans="1:17" x14ac:dyDescent="0.25">
      <c r="A29" t="s">
        <v>121</v>
      </c>
      <c r="B29" t="s">
        <v>18</v>
      </c>
      <c r="C29" t="s">
        <v>19</v>
      </c>
      <c r="D29" t="s">
        <v>20</v>
      </c>
      <c r="E29" t="s">
        <v>122</v>
      </c>
      <c r="F29" t="s">
        <v>62</v>
      </c>
      <c r="G29">
        <v>63101</v>
      </c>
      <c r="H29">
        <v>147</v>
      </c>
      <c r="I29">
        <v>29</v>
      </c>
      <c r="J29" s="4">
        <f>MAX(Inventory[[#This Row],[Qty On Hand]]-Inventory[[#This Row],[Qty Allocated]],0)</f>
        <v>118</v>
      </c>
      <c r="K29">
        <v>372</v>
      </c>
      <c r="L29" t="s">
        <v>143</v>
      </c>
      <c r="M29" t="s">
        <v>144</v>
      </c>
      <c r="N29" t="s">
        <v>145</v>
      </c>
      <c r="O29" t="s">
        <v>26</v>
      </c>
      <c r="P29" t="s">
        <v>146</v>
      </c>
      <c r="Q29" t="s">
        <v>28</v>
      </c>
    </row>
    <row r="30" spans="1:17" x14ac:dyDescent="0.25">
      <c r="A30" t="s">
        <v>121</v>
      </c>
      <c r="B30" t="s">
        <v>18</v>
      </c>
      <c r="C30" t="s">
        <v>19</v>
      </c>
      <c r="D30" t="s">
        <v>20</v>
      </c>
      <c r="E30" t="s">
        <v>122</v>
      </c>
      <c r="F30" t="s">
        <v>62</v>
      </c>
      <c r="G30">
        <v>63101</v>
      </c>
      <c r="H30">
        <v>124</v>
      </c>
      <c r="I30">
        <v>22</v>
      </c>
      <c r="J30" s="4">
        <f>MAX(Inventory[[#This Row],[Qty On Hand]]-Inventory[[#This Row],[Qty Allocated]],0)</f>
        <v>102</v>
      </c>
      <c r="K30">
        <v>373</v>
      </c>
      <c r="L30" t="s">
        <v>147</v>
      </c>
      <c r="M30" t="s">
        <v>148</v>
      </c>
      <c r="N30" t="s">
        <v>149</v>
      </c>
      <c r="O30" t="s">
        <v>26</v>
      </c>
      <c r="P30" t="s">
        <v>150</v>
      </c>
      <c r="Q30" t="s">
        <v>40</v>
      </c>
    </row>
    <row r="31" spans="1:17" x14ac:dyDescent="0.25">
      <c r="A31" t="s">
        <v>121</v>
      </c>
      <c r="B31" t="s">
        <v>18</v>
      </c>
      <c r="C31" t="s">
        <v>19</v>
      </c>
      <c r="D31" t="s">
        <v>20</v>
      </c>
      <c r="E31" t="s">
        <v>122</v>
      </c>
      <c r="F31" t="s">
        <v>62</v>
      </c>
      <c r="G31">
        <v>63101</v>
      </c>
      <c r="H31">
        <v>113</v>
      </c>
      <c r="I31">
        <v>40</v>
      </c>
      <c r="J31" s="4">
        <f>MAX(Inventory[[#This Row],[Qty On Hand]]-Inventory[[#This Row],[Qty Allocated]],0)</f>
        <v>73</v>
      </c>
      <c r="K31">
        <v>266</v>
      </c>
      <c r="L31" t="s">
        <v>151</v>
      </c>
      <c r="M31" t="s">
        <v>152</v>
      </c>
      <c r="N31" t="s">
        <v>153</v>
      </c>
      <c r="O31" t="s">
        <v>26</v>
      </c>
      <c r="P31" t="s">
        <v>39</v>
      </c>
      <c r="Q31" t="s">
        <v>40</v>
      </c>
    </row>
    <row r="32" spans="1:17" x14ac:dyDescent="0.25">
      <c r="A32" t="s">
        <v>121</v>
      </c>
      <c r="B32" t="s">
        <v>18</v>
      </c>
      <c r="C32" t="s">
        <v>19</v>
      </c>
      <c r="D32" t="s">
        <v>20</v>
      </c>
      <c r="E32" t="s">
        <v>122</v>
      </c>
      <c r="F32" t="s">
        <v>83</v>
      </c>
      <c r="G32">
        <v>28202</v>
      </c>
      <c r="H32">
        <v>124</v>
      </c>
      <c r="I32">
        <v>35</v>
      </c>
      <c r="J32" s="4">
        <f>MAX(Inventory[[#This Row],[Qty On Hand]]-Inventory[[#This Row],[Qty Allocated]],0)</f>
        <v>89</v>
      </c>
      <c r="K32">
        <v>209</v>
      </c>
      <c r="L32" t="s">
        <v>154</v>
      </c>
      <c r="M32" t="s">
        <v>155</v>
      </c>
      <c r="N32" t="s">
        <v>156</v>
      </c>
      <c r="O32" t="s">
        <v>26</v>
      </c>
      <c r="P32" t="s">
        <v>157</v>
      </c>
      <c r="Q32" t="s">
        <v>40</v>
      </c>
    </row>
    <row r="33" spans="1:17" x14ac:dyDescent="0.25">
      <c r="A33" t="s">
        <v>121</v>
      </c>
      <c r="B33" t="s">
        <v>18</v>
      </c>
      <c r="C33" t="s">
        <v>19</v>
      </c>
      <c r="D33" t="s">
        <v>20</v>
      </c>
      <c r="E33" t="s">
        <v>122</v>
      </c>
      <c r="F33" t="s">
        <v>83</v>
      </c>
      <c r="G33">
        <v>28202</v>
      </c>
      <c r="H33">
        <v>167</v>
      </c>
      <c r="I33">
        <v>88</v>
      </c>
      <c r="J33" s="4">
        <f>MAX(Inventory[[#This Row],[Qty On Hand]]-Inventory[[#This Row],[Qty Allocated]],0)</f>
        <v>79</v>
      </c>
      <c r="K33">
        <v>304</v>
      </c>
      <c r="L33" t="s">
        <v>158</v>
      </c>
      <c r="M33" t="s">
        <v>159</v>
      </c>
      <c r="N33" t="s">
        <v>160</v>
      </c>
      <c r="O33" t="s">
        <v>48</v>
      </c>
      <c r="P33" t="s">
        <v>161</v>
      </c>
      <c r="Q33" t="s">
        <v>92</v>
      </c>
    </row>
    <row r="34" spans="1:17" x14ac:dyDescent="0.25">
      <c r="A34" t="s">
        <v>121</v>
      </c>
      <c r="B34" t="s">
        <v>18</v>
      </c>
      <c r="C34" t="s">
        <v>19</v>
      </c>
      <c r="D34" t="s">
        <v>20</v>
      </c>
      <c r="E34" t="s">
        <v>122</v>
      </c>
      <c r="F34" t="s">
        <v>83</v>
      </c>
      <c r="G34">
        <v>28202</v>
      </c>
      <c r="H34">
        <v>97</v>
      </c>
      <c r="I34">
        <v>67</v>
      </c>
      <c r="J34" s="4">
        <f>MAX(Inventory[[#This Row],[Qty On Hand]]-Inventory[[#This Row],[Qty Allocated]],0)</f>
        <v>30</v>
      </c>
      <c r="K34">
        <v>166</v>
      </c>
      <c r="L34" t="s">
        <v>162</v>
      </c>
      <c r="M34" t="s">
        <v>163</v>
      </c>
      <c r="N34" t="s">
        <v>164</v>
      </c>
      <c r="O34" t="s">
        <v>26</v>
      </c>
      <c r="P34" t="s">
        <v>165</v>
      </c>
      <c r="Q34" t="s">
        <v>40</v>
      </c>
    </row>
    <row r="35" spans="1:17" x14ac:dyDescent="0.25">
      <c r="A35" t="s">
        <v>121</v>
      </c>
      <c r="B35" t="s">
        <v>18</v>
      </c>
      <c r="C35" t="s">
        <v>19</v>
      </c>
      <c r="D35" t="s">
        <v>20</v>
      </c>
      <c r="E35" t="s">
        <v>122</v>
      </c>
      <c r="F35" t="s">
        <v>83</v>
      </c>
      <c r="G35">
        <v>28202</v>
      </c>
      <c r="H35">
        <v>116</v>
      </c>
      <c r="I35">
        <v>44</v>
      </c>
      <c r="J35" s="4">
        <f>MAX(Inventory[[#This Row],[Qty On Hand]]-Inventory[[#This Row],[Qty Allocated]],0)</f>
        <v>72</v>
      </c>
      <c r="K35">
        <v>224</v>
      </c>
      <c r="L35" t="s">
        <v>166</v>
      </c>
      <c r="M35" t="s">
        <v>167</v>
      </c>
      <c r="N35" t="s">
        <v>168</v>
      </c>
      <c r="O35" t="s">
        <v>48</v>
      </c>
      <c r="P35" t="s">
        <v>169</v>
      </c>
      <c r="Q35" t="s">
        <v>92</v>
      </c>
    </row>
    <row r="36" spans="1:17" x14ac:dyDescent="0.25">
      <c r="A36" t="s">
        <v>170</v>
      </c>
      <c r="B36" t="s">
        <v>18</v>
      </c>
      <c r="C36" t="s">
        <v>19</v>
      </c>
      <c r="D36" t="s">
        <v>20</v>
      </c>
      <c r="E36" t="s">
        <v>171</v>
      </c>
      <c r="F36" t="s">
        <v>22</v>
      </c>
      <c r="G36">
        <v>94102</v>
      </c>
      <c r="H36">
        <v>5</v>
      </c>
      <c r="I36">
        <v>3</v>
      </c>
      <c r="J36" s="4">
        <f>MAX(Inventory[[#This Row],[Qty On Hand]]-Inventory[[#This Row],[Qty Allocated]],0)</f>
        <v>2</v>
      </c>
      <c r="K36">
        <v>373</v>
      </c>
      <c r="L36" t="s">
        <v>172</v>
      </c>
      <c r="M36" t="s">
        <v>173</v>
      </c>
      <c r="N36" t="s">
        <v>174</v>
      </c>
      <c r="O36" t="s">
        <v>26</v>
      </c>
      <c r="P36" t="s">
        <v>175</v>
      </c>
      <c r="Q36" t="s">
        <v>40</v>
      </c>
    </row>
    <row r="37" spans="1:17" x14ac:dyDescent="0.25">
      <c r="A37" t="s">
        <v>170</v>
      </c>
      <c r="B37" t="s">
        <v>18</v>
      </c>
      <c r="C37" t="s">
        <v>19</v>
      </c>
      <c r="D37" t="s">
        <v>20</v>
      </c>
      <c r="E37" t="s">
        <v>171</v>
      </c>
      <c r="F37" t="s">
        <v>35</v>
      </c>
      <c r="G37">
        <v>75201</v>
      </c>
      <c r="H37">
        <v>150</v>
      </c>
      <c r="I37">
        <v>17</v>
      </c>
      <c r="J37" s="4">
        <f>MAX(Inventory[[#This Row],[Qty On Hand]]-Inventory[[#This Row],[Qty Allocated]],0)</f>
        <v>133</v>
      </c>
      <c r="K37">
        <v>171</v>
      </c>
      <c r="L37" t="s">
        <v>176</v>
      </c>
      <c r="M37" t="s">
        <v>177</v>
      </c>
      <c r="N37" t="s">
        <v>178</v>
      </c>
      <c r="O37" t="s">
        <v>48</v>
      </c>
      <c r="P37" t="s">
        <v>179</v>
      </c>
      <c r="Q37" t="s">
        <v>92</v>
      </c>
    </row>
    <row r="38" spans="1:17" x14ac:dyDescent="0.25">
      <c r="A38" t="s">
        <v>170</v>
      </c>
      <c r="B38" t="s">
        <v>18</v>
      </c>
      <c r="C38" t="s">
        <v>19</v>
      </c>
      <c r="D38" t="s">
        <v>20</v>
      </c>
      <c r="E38" t="s">
        <v>171</v>
      </c>
      <c r="F38" t="s">
        <v>35</v>
      </c>
      <c r="G38">
        <v>75201</v>
      </c>
      <c r="H38">
        <v>135</v>
      </c>
      <c r="I38">
        <v>17</v>
      </c>
      <c r="J38" s="4">
        <f>MAX(Inventory[[#This Row],[Qty On Hand]]-Inventory[[#This Row],[Qty Allocated]],0)</f>
        <v>118</v>
      </c>
      <c r="K38">
        <v>215</v>
      </c>
      <c r="L38" t="s">
        <v>180</v>
      </c>
      <c r="M38" t="s">
        <v>181</v>
      </c>
      <c r="N38" t="s">
        <v>182</v>
      </c>
      <c r="O38" t="s">
        <v>48</v>
      </c>
      <c r="P38" t="s">
        <v>183</v>
      </c>
      <c r="Q38" t="s">
        <v>28</v>
      </c>
    </row>
    <row r="39" spans="1:17" x14ac:dyDescent="0.25">
      <c r="A39" t="s">
        <v>170</v>
      </c>
      <c r="B39" t="s">
        <v>18</v>
      </c>
      <c r="C39" t="s">
        <v>19</v>
      </c>
      <c r="D39" t="s">
        <v>20</v>
      </c>
      <c r="E39" t="s">
        <v>171</v>
      </c>
      <c r="F39" t="s">
        <v>35</v>
      </c>
      <c r="G39">
        <v>75201</v>
      </c>
      <c r="H39">
        <v>132</v>
      </c>
      <c r="I39">
        <v>79</v>
      </c>
      <c r="J39" s="4">
        <f>MAX(Inventory[[#This Row],[Qty On Hand]]-Inventory[[#This Row],[Qty Allocated]],0)</f>
        <v>53</v>
      </c>
      <c r="K39">
        <v>185</v>
      </c>
      <c r="L39" t="s">
        <v>184</v>
      </c>
      <c r="M39" t="s">
        <v>185</v>
      </c>
      <c r="N39" t="s">
        <v>186</v>
      </c>
      <c r="O39" t="s">
        <v>26</v>
      </c>
      <c r="P39" t="s">
        <v>187</v>
      </c>
      <c r="Q39" t="s">
        <v>92</v>
      </c>
    </row>
    <row r="40" spans="1:17" x14ac:dyDescent="0.25">
      <c r="A40" t="s">
        <v>170</v>
      </c>
      <c r="B40" t="s">
        <v>18</v>
      </c>
      <c r="C40" t="s">
        <v>19</v>
      </c>
      <c r="D40" t="s">
        <v>20</v>
      </c>
      <c r="E40" t="s">
        <v>171</v>
      </c>
      <c r="F40" t="s">
        <v>35</v>
      </c>
      <c r="G40">
        <v>75201</v>
      </c>
      <c r="H40">
        <v>87</v>
      </c>
      <c r="I40">
        <v>24</v>
      </c>
      <c r="J40" s="4">
        <f>MAX(Inventory[[#This Row],[Qty On Hand]]-Inventory[[#This Row],[Qty Allocated]],0)</f>
        <v>63</v>
      </c>
      <c r="K40">
        <v>379</v>
      </c>
      <c r="L40" t="s">
        <v>188</v>
      </c>
      <c r="M40" t="s">
        <v>189</v>
      </c>
      <c r="N40" t="s">
        <v>190</v>
      </c>
      <c r="O40" t="s">
        <v>48</v>
      </c>
      <c r="P40" t="s">
        <v>191</v>
      </c>
      <c r="Q40" t="s">
        <v>28</v>
      </c>
    </row>
    <row r="41" spans="1:17" x14ac:dyDescent="0.25">
      <c r="A41" t="s">
        <v>170</v>
      </c>
      <c r="B41" t="s">
        <v>18</v>
      </c>
      <c r="C41" t="s">
        <v>19</v>
      </c>
      <c r="D41" t="s">
        <v>20</v>
      </c>
      <c r="E41" t="s">
        <v>171</v>
      </c>
      <c r="F41" t="s">
        <v>62</v>
      </c>
      <c r="G41">
        <v>63101</v>
      </c>
      <c r="H41">
        <v>119</v>
      </c>
      <c r="I41">
        <v>69</v>
      </c>
      <c r="J41" s="4">
        <f>MAX(Inventory[[#This Row],[Qty On Hand]]-Inventory[[#This Row],[Qty Allocated]],0)</f>
        <v>50</v>
      </c>
      <c r="K41">
        <v>222</v>
      </c>
      <c r="L41" t="s">
        <v>192</v>
      </c>
      <c r="M41" t="s">
        <v>193</v>
      </c>
      <c r="N41" t="s">
        <v>194</v>
      </c>
      <c r="O41" t="s">
        <v>26</v>
      </c>
      <c r="P41" t="s">
        <v>195</v>
      </c>
      <c r="Q41" t="s">
        <v>28</v>
      </c>
    </row>
    <row r="42" spans="1:17" x14ac:dyDescent="0.25">
      <c r="A42" t="s">
        <v>170</v>
      </c>
      <c r="B42" t="s">
        <v>18</v>
      </c>
      <c r="C42" t="s">
        <v>19</v>
      </c>
      <c r="D42" t="s">
        <v>20</v>
      </c>
      <c r="E42" t="s">
        <v>171</v>
      </c>
      <c r="F42" t="s">
        <v>62</v>
      </c>
      <c r="G42">
        <v>63101</v>
      </c>
      <c r="H42">
        <v>135</v>
      </c>
      <c r="I42">
        <v>80</v>
      </c>
      <c r="J42" s="4">
        <f>MAX(Inventory[[#This Row],[Qty On Hand]]-Inventory[[#This Row],[Qty Allocated]],0)</f>
        <v>55</v>
      </c>
      <c r="K42">
        <v>148</v>
      </c>
      <c r="L42" t="s">
        <v>196</v>
      </c>
      <c r="M42" t="s">
        <v>197</v>
      </c>
      <c r="N42" t="s">
        <v>198</v>
      </c>
      <c r="O42" t="s">
        <v>48</v>
      </c>
      <c r="P42" t="s">
        <v>199</v>
      </c>
      <c r="Q42" t="s">
        <v>92</v>
      </c>
    </row>
    <row r="43" spans="1:17" x14ac:dyDescent="0.25">
      <c r="A43" t="s">
        <v>170</v>
      </c>
      <c r="B43" t="s">
        <v>18</v>
      </c>
      <c r="C43" t="s">
        <v>19</v>
      </c>
      <c r="D43" t="s">
        <v>20</v>
      </c>
      <c r="E43" t="s">
        <v>171</v>
      </c>
      <c r="F43" t="s">
        <v>62</v>
      </c>
      <c r="G43">
        <v>63101</v>
      </c>
      <c r="H43">
        <v>71</v>
      </c>
      <c r="I43">
        <v>70</v>
      </c>
      <c r="J43" s="4">
        <f>MAX(Inventory[[#This Row],[Qty On Hand]]-Inventory[[#This Row],[Qty Allocated]],0)</f>
        <v>1</v>
      </c>
      <c r="K43">
        <v>228</v>
      </c>
      <c r="L43" t="s">
        <v>200</v>
      </c>
      <c r="M43" t="s">
        <v>201</v>
      </c>
      <c r="N43" t="s">
        <v>202</v>
      </c>
      <c r="O43" t="s">
        <v>26</v>
      </c>
      <c r="P43" t="s">
        <v>203</v>
      </c>
      <c r="Q43" t="s">
        <v>40</v>
      </c>
    </row>
    <row r="44" spans="1:17" x14ac:dyDescent="0.25">
      <c r="A44" t="s">
        <v>170</v>
      </c>
      <c r="B44" t="s">
        <v>18</v>
      </c>
      <c r="C44" t="s">
        <v>19</v>
      </c>
      <c r="D44" t="s">
        <v>20</v>
      </c>
      <c r="E44" t="s">
        <v>171</v>
      </c>
      <c r="F44" t="s">
        <v>62</v>
      </c>
      <c r="G44">
        <v>63101</v>
      </c>
      <c r="H44">
        <v>102</v>
      </c>
      <c r="I44">
        <v>78</v>
      </c>
      <c r="J44" s="4">
        <f>MAX(Inventory[[#This Row],[Qty On Hand]]-Inventory[[#This Row],[Qty Allocated]],0)</f>
        <v>24</v>
      </c>
      <c r="K44">
        <v>222</v>
      </c>
      <c r="L44" t="s">
        <v>204</v>
      </c>
      <c r="M44" t="s">
        <v>205</v>
      </c>
      <c r="N44" t="s">
        <v>206</v>
      </c>
      <c r="O44" t="s">
        <v>26</v>
      </c>
      <c r="P44" t="s">
        <v>207</v>
      </c>
      <c r="Q44" t="s">
        <v>28</v>
      </c>
    </row>
    <row r="45" spans="1:17" x14ac:dyDescent="0.25">
      <c r="A45" t="s">
        <v>170</v>
      </c>
      <c r="B45" t="s">
        <v>18</v>
      </c>
      <c r="C45" t="s">
        <v>19</v>
      </c>
      <c r="D45" t="s">
        <v>20</v>
      </c>
      <c r="E45" t="s">
        <v>171</v>
      </c>
      <c r="F45" t="s">
        <v>62</v>
      </c>
      <c r="G45">
        <v>63101</v>
      </c>
      <c r="H45">
        <v>175</v>
      </c>
      <c r="I45">
        <v>61</v>
      </c>
      <c r="J45" s="4">
        <f>MAX(Inventory[[#This Row],[Qty On Hand]]-Inventory[[#This Row],[Qty Allocated]],0)</f>
        <v>114</v>
      </c>
      <c r="K45">
        <v>180</v>
      </c>
      <c r="L45" t="s">
        <v>208</v>
      </c>
      <c r="M45" t="s">
        <v>209</v>
      </c>
      <c r="N45" t="s">
        <v>210</v>
      </c>
      <c r="O45" t="s">
        <v>26</v>
      </c>
      <c r="P45" t="s">
        <v>211</v>
      </c>
      <c r="Q45" t="s">
        <v>40</v>
      </c>
    </row>
    <row r="46" spans="1:17" x14ac:dyDescent="0.25">
      <c r="A46" t="s">
        <v>170</v>
      </c>
      <c r="B46" t="s">
        <v>18</v>
      </c>
      <c r="C46" t="s">
        <v>19</v>
      </c>
      <c r="D46" t="s">
        <v>20</v>
      </c>
      <c r="E46" t="s">
        <v>171</v>
      </c>
      <c r="F46" t="s">
        <v>62</v>
      </c>
      <c r="G46">
        <v>63101</v>
      </c>
      <c r="H46">
        <v>125</v>
      </c>
      <c r="I46">
        <v>19</v>
      </c>
      <c r="J46" s="4">
        <f>MAX(Inventory[[#This Row],[Qty On Hand]]-Inventory[[#This Row],[Qty Allocated]],0)</f>
        <v>106</v>
      </c>
      <c r="K46">
        <v>111</v>
      </c>
      <c r="L46" t="s">
        <v>212</v>
      </c>
      <c r="M46" t="s">
        <v>213</v>
      </c>
      <c r="N46" t="s">
        <v>214</v>
      </c>
      <c r="O46" t="s">
        <v>26</v>
      </c>
      <c r="P46" t="s">
        <v>215</v>
      </c>
      <c r="Q46" t="s">
        <v>28</v>
      </c>
    </row>
    <row r="47" spans="1:17" x14ac:dyDescent="0.25">
      <c r="A47" t="s">
        <v>170</v>
      </c>
      <c r="B47" t="s">
        <v>18</v>
      </c>
      <c r="C47" t="s">
        <v>19</v>
      </c>
      <c r="D47" t="s">
        <v>20</v>
      </c>
      <c r="E47" t="s">
        <v>171</v>
      </c>
      <c r="F47" t="s">
        <v>83</v>
      </c>
      <c r="G47">
        <v>28202</v>
      </c>
      <c r="H47">
        <v>122</v>
      </c>
      <c r="I47">
        <v>96</v>
      </c>
      <c r="J47" s="4">
        <f>MAX(Inventory[[#This Row],[Qty On Hand]]-Inventory[[#This Row],[Qty Allocated]],0)</f>
        <v>26</v>
      </c>
      <c r="K47">
        <v>269</v>
      </c>
      <c r="L47" t="s">
        <v>216</v>
      </c>
      <c r="M47" t="s">
        <v>217</v>
      </c>
      <c r="N47" t="s">
        <v>218</v>
      </c>
      <c r="O47" t="s">
        <v>26</v>
      </c>
      <c r="P47" t="s">
        <v>219</v>
      </c>
      <c r="Q47" t="s">
        <v>92</v>
      </c>
    </row>
    <row r="48" spans="1:17" x14ac:dyDescent="0.25">
      <c r="A48" t="s">
        <v>170</v>
      </c>
      <c r="B48" t="s">
        <v>18</v>
      </c>
      <c r="C48" t="s">
        <v>19</v>
      </c>
      <c r="D48" t="s">
        <v>20</v>
      </c>
      <c r="E48" t="s">
        <v>171</v>
      </c>
      <c r="F48" t="s">
        <v>83</v>
      </c>
      <c r="G48">
        <v>28202</v>
      </c>
      <c r="H48">
        <v>176</v>
      </c>
      <c r="I48">
        <v>33</v>
      </c>
      <c r="J48" s="4">
        <f>MAX(Inventory[[#This Row],[Qty On Hand]]-Inventory[[#This Row],[Qty Allocated]],0)</f>
        <v>143</v>
      </c>
      <c r="K48">
        <v>216</v>
      </c>
      <c r="L48" t="s">
        <v>220</v>
      </c>
      <c r="M48" t="s">
        <v>221</v>
      </c>
      <c r="N48" t="s">
        <v>222</v>
      </c>
      <c r="O48" t="s">
        <v>26</v>
      </c>
      <c r="P48" t="s">
        <v>223</v>
      </c>
      <c r="Q48" t="s">
        <v>34</v>
      </c>
    </row>
    <row r="49" spans="1:17" x14ac:dyDescent="0.25">
      <c r="A49" t="s">
        <v>170</v>
      </c>
      <c r="B49" t="s">
        <v>18</v>
      </c>
      <c r="C49" t="s">
        <v>19</v>
      </c>
      <c r="D49" t="s">
        <v>20</v>
      </c>
      <c r="E49" t="s">
        <v>171</v>
      </c>
      <c r="F49" t="s">
        <v>83</v>
      </c>
      <c r="G49">
        <v>28202</v>
      </c>
      <c r="H49">
        <v>82</v>
      </c>
      <c r="I49">
        <v>28</v>
      </c>
      <c r="J49" s="4">
        <f>MAX(Inventory[[#This Row],[Qty On Hand]]-Inventory[[#This Row],[Qty Allocated]],0)</f>
        <v>54</v>
      </c>
      <c r="K49">
        <v>250</v>
      </c>
      <c r="L49" t="s">
        <v>224</v>
      </c>
      <c r="M49" t="s">
        <v>225</v>
      </c>
      <c r="N49" t="s">
        <v>226</v>
      </c>
      <c r="O49" t="s">
        <v>26</v>
      </c>
      <c r="P49" t="s">
        <v>227</v>
      </c>
      <c r="Q49" t="s">
        <v>92</v>
      </c>
    </row>
    <row r="50" spans="1:17" x14ac:dyDescent="0.25">
      <c r="A50" t="s">
        <v>228</v>
      </c>
      <c r="B50" t="s">
        <v>18</v>
      </c>
      <c r="C50" t="s">
        <v>19</v>
      </c>
      <c r="D50" t="s">
        <v>229</v>
      </c>
      <c r="E50" t="s">
        <v>21</v>
      </c>
      <c r="F50" t="s">
        <v>22</v>
      </c>
      <c r="G50">
        <v>94102</v>
      </c>
      <c r="H50">
        <v>9</v>
      </c>
      <c r="I50">
        <v>4</v>
      </c>
      <c r="J50" s="4">
        <f>MAX(Inventory[[#This Row],[Qty On Hand]]-Inventory[[#This Row],[Qty Allocated]],0)</f>
        <v>5</v>
      </c>
      <c r="K50">
        <v>294</v>
      </c>
      <c r="L50" t="s">
        <v>230</v>
      </c>
      <c r="M50" t="s">
        <v>231</v>
      </c>
      <c r="N50" t="s">
        <v>232</v>
      </c>
      <c r="O50" t="s">
        <v>26</v>
      </c>
      <c r="P50" t="s">
        <v>233</v>
      </c>
      <c r="Q50" t="s">
        <v>34</v>
      </c>
    </row>
    <row r="51" spans="1:17" x14ac:dyDescent="0.25">
      <c r="A51" t="s">
        <v>228</v>
      </c>
      <c r="B51" t="s">
        <v>18</v>
      </c>
      <c r="C51" t="s">
        <v>19</v>
      </c>
      <c r="D51" t="s">
        <v>229</v>
      </c>
      <c r="E51" t="s">
        <v>21</v>
      </c>
      <c r="F51" t="s">
        <v>29</v>
      </c>
      <c r="G51">
        <v>98072</v>
      </c>
      <c r="H51">
        <v>2104</v>
      </c>
      <c r="I51">
        <v>10</v>
      </c>
      <c r="J51" s="4">
        <f>MAX(Inventory[[#This Row],[Qty On Hand]]-Inventory[[#This Row],[Qty Allocated]],0)</f>
        <v>2094</v>
      </c>
      <c r="K51">
        <v>305</v>
      </c>
      <c r="L51" t="s">
        <v>234</v>
      </c>
      <c r="M51" t="s">
        <v>235</v>
      </c>
      <c r="N51" t="s">
        <v>236</v>
      </c>
      <c r="O51" t="s">
        <v>26</v>
      </c>
      <c r="P51" t="s">
        <v>237</v>
      </c>
      <c r="Q51" t="s">
        <v>28</v>
      </c>
    </row>
    <row r="52" spans="1:17" x14ac:dyDescent="0.25">
      <c r="A52" t="s">
        <v>228</v>
      </c>
      <c r="B52" t="s">
        <v>18</v>
      </c>
      <c r="C52" t="s">
        <v>19</v>
      </c>
      <c r="D52" t="s">
        <v>229</v>
      </c>
      <c r="E52" t="s">
        <v>21</v>
      </c>
      <c r="F52" t="s">
        <v>35</v>
      </c>
      <c r="G52">
        <v>75201</v>
      </c>
      <c r="H52">
        <v>73</v>
      </c>
      <c r="I52">
        <v>89</v>
      </c>
      <c r="J52" s="4">
        <f>MAX(Inventory[[#This Row],[Qty On Hand]]-Inventory[[#This Row],[Qty Allocated]],0)</f>
        <v>0</v>
      </c>
      <c r="K52">
        <v>257</v>
      </c>
      <c r="L52" t="s">
        <v>238</v>
      </c>
      <c r="M52" t="s">
        <v>239</v>
      </c>
      <c r="N52" t="s">
        <v>240</v>
      </c>
      <c r="O52" t="s">
        <v>26</v>
      </c>
      <c r="P52" t="s">
        <v>241</v>
      </c>
      <c r="Q52" t="s">
        <v>40</v>
      </c>
    </row>
    <row r="53" spans="1:17" x14ac:dyDescent="0.25">
      <c r="A53" t="s">
        <v>228</v>
      </c>
      <c r="B53" t="s">
        <v>18</v>
      </c>
      <c r="C53" t="s">
        <v>19</v>
      </c>
      <c r="D53" t="s">
        <v>229</v>
      </c>
      <c r="E53" t="s">
        <v>21</v>
      </c>
      <c r="F53" t="s">
        <v>35</v>
      </c>
      <c r="G53">
        <v>75201</v>
      </c>
      <c r="H53">
        <v>151</v>
      </c>
      <c r="I53">
        <v>14</v>
      </c>
      <c r="J53" s="4">
        <f>MAX(Inventory[[#This Row],[Qty On Hand]]-Inventory[[#This Row],[Qty Allocated]],0)</f>
        <v>137</v>
      </c>
      <c r="K53">
        <v>228</v>
      </c>
      <c r="L53" t="s">
        <v>242</v>
      </c>
      <c r="M53" t="s">
        <v>243</v>
      </c>
      <c r="N53" t="s">
        <v>244</v>
      </c>
      <c r="O53" t="s">
        <v>26</v>
      </c>
      <c r="P53" t="s">
        <v>245</v>
      </c>
      <c r="Q53" t="s">
        <v>40</v>
      </c>
    </row>
    <row r="54" spans="1:17" x14ac:dyDescent="0.25">
      <c r="A54" t="s">
        <v>228</v>
      </c>
      <c r="B54" t="s">
        <v>18</v>
      </c>
      <c r="C54" t="s">
        <v>19</v>
      </c>
      <c r="D54" t="s">
        <v>229</v>
      </c>
      <c r="E54" t="s">
        <v>21</v>
      </c>
      <c r="F54" t="s">
        <v>35</v>
      </c>
      <c r="G54">
        <v>75201</v>
      </c>
      <c r="H54">
        <v>123</v>
      </c>
      <c r="I54">
        <v>39</v>
      </c>
      <c r="J54" s="4">
        <f>MAX(Inventory[[#This Row],[Qty On Hand]]-Inventory[[#This Row],[Qty Allocated]],0)</f>
        <v>84</v>
      </c>
      <c r="K54">
        <v>361</v>
      </c>
      <c r="L54" t="s">
        <v>246</v>
      </c>
      <c r="M54" t="s">
        <v>247</v>
      </c>
      <c r="N54" t="s">
        <v>248</v>
      </c>
      <c r="O54" t="s">
        <v>48</v>
      </c>
      <c r="P54" t="s">
        <v>249</v>
      </c>
      <c r="Q54" t="s">
        <v>40</v>
      </c>
    </row>
    <row r="55" spans="1:17" x14ac:dyDescent="0.25">
      <c r="A55" t="s">
        <v>228</v>
      </c>
      <c r="B55" t="s">
        <v>18</v>
      </c>
      <c r="C55" t="s">
        <v>19</v>
      </c>
      <c r="D55" t="s">
        <v>229</v>
      </c>
      <c r="E55" t="s">
        <v>21</v>
      </c>
      <c r="F55" t="s">
        <v>35</v>
      </c>
      <c r="G55">
        <v>75201</v>
      </c>
      <c r="H55">
        <v>149</v>
      </c>
      <c r="I55">
        <v>66</v>
      </c>
      <c r="J55" s="4">
        <f>MAX(Inventory[[#This Row],[Qty On Hand]]-Inventory[[#This Row],[Qty Allocated]],0)</f>
        <v>83</v>
      </c>
      <c r="K55">
        <v>153</v>
      </c>
      <c r="L55" t="s">
        <v>250</v>
      </c>
      <c r="M55" t="s">
        <v>251</v>
      </c>
      <c r="N55" t="s">
        <v>252</v>
      </c>
      <c r="O55" t="s">
        <v>26</v>
      </c>
      <c r="P55" t="s">
        <v>253</v>
      </c>
      <c r="Q55" t="s">
        <v>40</v>
      </c>
    </row>
    <row r="56" spans="1:17" x14ac:dyDescent="0.25">
      <c r="A56" t="s">
        <v>228</v>
      </c>
      <c r="B56" t="s">
        <v>18</v>
      </c>
      <c r="C56" t="s">
        <v>19</v>
      </c>
      <c r="D56" t="s">
        <v>229</v>
      </c>
      <c r="E56" t="s">
        <v>21</v>
      </c>
      <c r="F56" t="s">
        <v>35</v>
      </c>
      <c r="G56">
        <v>75201</v>
      </c>
      <c r="H56">
        <v>99</v>
      </c>
      <c r="I56">
        <v>26</v>
      </c>
      <c r="J56" s="4">
        <f>MAX(Inventory[[#This Row],[Qty On Hand]]-Inventory[[#This Row],[Qty Allocated]],0)</f>
        <v>73</v>
      </c>
      <c r="K56">
        <v>320</v>
      </c>
      <c r="L56" t="s">
        <v>254</v>
      </c>
      <c r="M56" t="s">
        <v>255</v>
      </c>
      <c r="N56" t="s">
        <v>256</v>
      </c>
      <c r="O56" t="s">
        <v>26</v>
      </c>
      <c r="P56" t="s">
        <v>257</v>
      </c>
      <c r="Q56" t="s">
        <v>92</v>
      </c>
    </row>
    <row r="57" spans="1:17" x14ac:dyDescent="0.25">
      <c r="A57" t="s">
        <v>228</v>
      </c>
      <c r="B57" t="s">
        <v>18</v>
      </c>
      <c r="C57" t="s">
        <v>19</v>
      </c>
      <c r="D57" t="s">
        <v>229</v>
      </c>
      <c r="E57" t="s">
        <v>21</v>
      </c>
      <c r="F57" t="s">
        <v>62</v>
      </c>
      <c r="G57">
        <v>63101</v>
      </c>
      <c r="H57">
        <v>137</v>
      </c>
      <c r="I57">
        <v>99</v>
      </c>
      <c r="J57" s="4">
        <f>MAX(Inventory[[#This Row],[Qty On Hand]]-Inventory[[#This Row],[Qty Allocated]],0)</f>
        <v>38</v>
      </c>
      <c r="K57">
        <v>395</v>
      </c>
      <c r="L57" t="s">
        <v>258</v>
      </c>
      <c r="M57" t="s">
        <v>259</v>
      </c>
      <c r="N57" t="s">
        <v>260</v>
      </c>
      <c r="O57" t="s">
        <v>26</v>
      </c>
      <c r="P57" t="s">
        <v>261</v>
      </c>
      <c r="Q57" t="s">
        <v>34</v>
      </c>
    </row>
    <row r="58" spans="1:17" x14ac:dyDescent="0.25">
      <c r="A58" t="s">
        <v>228</v>
      </c>
      <c r="B58" t="s">
        <v>18</v>
      </c>
      <c r="C58" t="s">
        <v>19</v>
      </c>
      <c r="D58" t="s">
        <v>229</v>
      </c>
      <c r="E58" t="s">
        <v>21</v>
      </c>
      <c r="F58" t="s">
        <v>62</v>
      </c>
      <c r="G58">
        <v>63101</v>
      </c>
      <c r="H58">
        <v>87</v>
      </c>
      <c r="I58">
        <v>37</v>
      </c>
      <c r="J58" s="4">
        <f>MAX(Inventory[[#This Row],[Qty On Hand]]-Inventory[[#This Row],[Qty Allocated]],0)</f>
        <v>50</v>
      </c>
      <c r="K58">
        <v>170</v>
      </c>
      <c r="L58" t="s">
        <v>262</v>
      </c>
      <c r="M58" t="s">
        <v>263</v>
      </c>
      <c r="N58" t="s">
        <v>264</v>
      </c>
      <c r="O58" t="s">
        <v>26</v>
      </c>
      <c r="P58" t="s">
        <v>265</v>
      </c>
      <c r="Q58" t="s">
        <v>34</v>
      </c>
    </row>
    <row r="59" spans="1:17" x14ac:dyDescent="0.25">
      <c r="A59" t="s">
        <v>228</v>
      </c>
      <c r="B59" t="s">
        <v>18</v>
      </c>
      <c r="C59" t="s">
        <v>19</v>
      </c>
      <c r="D59" t="s">
        <v>229</v>
      </c>
      <c r="E59" t="s">
        <v>21</v>
      </c>
      <c r="F59" t="s">
        <v>62</v>
      </c>
      <c r="G59">
        <v>63101</v>
      </c>
      <c r="H59">
        <v>161</v>
      </c>
      <c r="I59">
        <v>93</v>
      </c>
      <c r="J59" s="4">
        <f>MAX(Inventory[[#This Row],[Qty On Hand]]-Inventory[[#This Row],[Qty Allocated]],0)</f>
        <v>68</v>
      </c>
      <c r="K59">
        <v>144</v>
      </c>
      <c r="L59" t="s">
        <v>266</v>
      </c>
      <c r="M59" t="s">
        <v>267</v>
      </c>
      <c r="N59" t="s">
        <v>268</v>
      </c>
      <c r="O59" t="s">
        <v>26</v>
      </c>
      <c r="P59" t="s">
        <v>269</v>
      </c>
      <c r="Q59" t="s">
        <v>28</v>
      </c>
    </row>
    <row r="60" spans="1:17" x14ac:dyDescent="0.25">
      <c r="A60" t="s">
        <v>228</v>
      </c>
      <c r="B60" t="s">
        <v>18</v>
      </c>
      <c r="C60" t="s">
        <v>19</v>
      </c>
      <c r="D60" t="s">
        <v>229</v>
      </c>
      <c r="E60" t="s">
        <v>21</v>
      </c>
      <c r="F60" t="s">
        <v>62</v>
      </c>
      <c r="G60">
        <v>63101</v>
      </c>
      <c r="H60">
        <v>158</v>
      </c>
      <c r="I60">
        <v>55</v>
      </c>
      <c r="J60" s="4">
        <f>MAX(Inventory[[#This Row],[Qty On Hand]]-Inventory[[#This Row],[Qty Allocated]],0)</f>
        <v>103</v>
      </c>
      <c r="K60">
        <v>307</v>
      </c>
      <c r="L60" t="s">
        <v>270</v>
      </c>
      <c r="M60" t="s">
        <v>271</v>
      </c>
      <c r="N60" t="s">
        <v>272</v>
      </c>
      <c r="O60" t="s">
        <v>26</v>
      </c>
      <c r="P60" t="s">
        <v>273</v>
      </c>
      <c r="Q60" t="s">
        <v>40</v>
      </c>
    </row>
    <row r="61" spans="1:17" x14ac:dyDescent="0.25">
      <c r="A61" t="s">
        <v>228</v>
      </c>
      <c r="B61" t="s">
        <v>18</v>
      </c>
      <c r="C61" t="s">
        <v>19</v>
      </c>
      <c r="D61" t="s">
        <v>229</v>
      </c>
      <c r="E61" t="s">
        <v>21</v>
      </c>
      <c r="F61" t="s">
        <v>83</v>
      </c>
      <c r="G61">
        <v>28202</v>
      </c>
      <c r="H61">
        <v>134</v>
      </c>
      <c r="I61">
        <v>54</v>
      </c>
      <c r="J61" s="4">
        <f>MAX(Inventory[[#This Row],[Qty On Hand]]-Inventory[[#This Row],[Qty Allocated]],0)</f>
        <v>80</v>
      </c>
      <c r="K61">
        <v>395</v>
      </c>
      <c r="L61" t="s">
        <v>274</v>
      </c>
      <c r="M61" t="s">
        <v>275</v>
      </c>
      <c r="N61" t="s">
        <v>276</v>
      </c>
      <c r="O61" t="s">
        <v>26</v>
      </c>
      <c r="P61" t="s">
        <v>277</v>
      </c>
      <c r="Q61" t="s">
        <v>34</v>
      </c>
    </row>
    <row r="62" spans="1:17" x14ac:dyDescent="0.25">
      <c r="A62" t="s">
        <v>228</v>
      </c>
      <c r="B62" t="s">
        <v>18</v>
      </c>
      <c r="C62" t="s">
        <v>19</v>
      </c>
      <c r="D62" t="s">
        <v>229</v>
      </c>
      <c r="E62" t="s">
        <v>21</v>
      </c>
      <c r="F62" t="s">
        <v>83</v>
      </c>
      <c r="G62">
        <v>28202</v>
      </c>
      <c r="H62">
        <v>104</v>
      </c>
      <c r="I62">
        <v>50</v>
      </c>
      <c r="J62" s="4">
        <f>MAX(Inventory[[#This Row],[Qty On Hand]]-Inventory[[#This Row],[Qty Allocated]],0)</f>
        <v>54</v>
      </c>
      <c r="K62">
        <v>242</v>
      </c>
      <c r="L62" t="s">
        <v>278</v>
      </c>
      <c r="M62" t="s">
        <v>279</v>
      </c>
      <c r="N62" t="s">
        <v>280</v>
      </c>
      <c r="O62" t="s">
        <v>26</v>
      </c>
      <c r="P62" t="s">
        <v>281</v>
      </c>
      <c r="Q62" t="s">
        <v>40</v>
      </c>
    </row>
    <row r="63" spans="1:17" x14ac:dyDescent="0.25">
      <c r="A63" t="s">
        <v>228</v>
      </c>
      <c r="B63" t="s">
        <v>18</v>
      </c>
      <c r="C63" t="s">
        <v>19</v>
      </c>
      <c r="D63" t="s">
        <v>229</v>
      </c>
      <c r="E63" t="s">
        <v>21</v>
      </c>
      <c r="F63" t="s">
        <v>83</v>
      </c>
      <c r="G63">
        <v>28202</v>
      </c>
      <c r="H63">
        <v>167</v>
      </c>
      <c r="I63">
        <v>36</v>
      </c>
      <c r="J63" s="4">
        <f>MAX(Inventory[[#This Row],[Qty On Hand]]-Inventory[[#This Row],[Qty Allocated]],0)</f>
        <v>131</v>
      </c>
      <c r="K63">
        <v>340</v>
      </c>
      <c r="L63" t="s">
        <v>282</v>
      </c>
      <c r="M63" t="s">
        <v>283</v>
      </c>
      <c r="N63" t="s">
        <v>284</v>
      </c>
      <c r="O63" t="s">
        <v>48</v>
      </c>
      <c r="P63" t="s">
        <v>285</v>
      </c>
      <c r="Q63" t="s">
        <v>34</v>
      </c>
    </row>
    <row r="64" spans="1:17" x14ac:dyDescent="0.25">
      <c r="A64" t="s">
        <v>228</v>
      </c>
      <c r="B64" t="s">
        <v>18</v>
      </c>
      <c r="C64" t="s">
        <v>19</v>
      </c>
      <c r="D64" t="s">
        <v>229</v>
      </c>
      <c r="E64" t="s">
        <v>21</v>
      </c>
      <c r="F64" t="s">
        <v>83</v>
      </c>
      <c r="G64">
        <v>28202</v>
      </c>
      <c r="H64">
        <v>120</v>
      </c>
      <c r="I64">
        <v>52</v>
      </c>
      <c r="J64" s="4">
        <f>MAX(Inventory[[#This Row],[Qty On Hand]]-Inventory[[#This Row],[Qty Allocated]],0)</f>
        <v>68</v>
      </c>
      <c r="K64">
        <v>186</v>
      </c>
      <c r="L64" t="s">
        <v>286</v>
      </c>
      <c r="M64" t="s">
        <v>287</v>
      </c>
      <c r="N64" t="s">
        <v>115</v>
      </c>
      <c r="O64" t="s">
        <v>26</v>
      </c>
      <c r="P64" t="s">
        <v>288</v>
      </c>
      <c r="Q64" t="s">
        <v>92</v>
      </c>
    </row>
    <row r="65" spans="1:17" x14ac:dyDescent="0.25">
      <c r="A65" t="s">
        <v>228</v>
      </c>
      <c r="B65" t="s">
        <v>18</v>
      </c>
      <c r="C65" t="s">
        <v>19</v>
      </c>
      <c r="D65" t="s">
        <v>229</v>
      </c>
      <c r="E65" t="s">
        <v>21</v>
      </c>
      <c r="F65" t="s">
        <v>83</v>
      </c>
      <c r="G65">
        <v>28202</v>
      </c>
      <c r="H65">
        <v>112</v>
      </c>
      <c r="I65">
        <v>74</v>
      </c>
      <c r="J65" s="4">
        <f>MAX(Inventory[[#This Row],[Qty On Hand]]-Inventory[[#This Row],[Qty Allocated]],0)</f>
        <v>38</v>
      </c>
      <c r="K65">
        <v>254</v>
      </c>
      <c r="L65" t="s">
        <v>289</v>
      </c>
      <c r="M65" t="s">
        <v>290</v>
      </c>
      <c r="N65" t="s">
        <v>291</v>
      </c>
      <c r="O65" t="s">
        <v>26</v>
      </c>
      <c r="P65" t="s">
        <v>292</v>
      </c>
      <c r="Q65" t="s">
        <v>40</v>
      </c>
    </row>
    <row r="66" spans="1:17" x14ac:dyDescent="0.25">
      <c r="A66" t="s">
        <v>228</v>
      </c>
      <c r="B66" t="s">
        <v>18</v>
      </c>
      <c r="C66" t="s">
        <v>19</v>
      </c>
      <c r="D66" t="s">
        <v>229</v>
      </c>
      <c r="E66" t="s">
        <v>21</v>
      </c>
      <c r="F66" t="s">
        <v>62</v>
      </c>
      <c r="G66">
        <v>63101</v>
      </c>
      <c r="H66">
        <v>2800</v>
      </c>
      <c r="I66">
        <v>0</v>
      </c>
      <c r="J66" s="4">
        <f>MAX(Inventory[[#This Row],[Qty On Hand]]-Inventory[[#This Row],[Qty Allocated]],0)</f>
        <v>2800</v>
      </c>
      <c r="K66">
        <v>260</v>
      </c>
      <c r="L66" t="s">
        <v>293</v>
      </c>
      <c r="M66" t="s">
        <v>294</v>
      </c>
      <c r="N66" t="s">
        <v>295</v>
      </c>
      <c r="O66" t="s">
        <v>26</v>
      </c>
      <c r="P66" t="s">
        <v>296</v>
      </c>
      <c r="Q66" t="s">
        <v>34</v>
      </c>
    </row>
    <row r="67" spans="1:17" x14ac:dyDescent="0.25">
      <c r="A67" t="s">
        <v>228</v>
      </c>
      <c r="B67" t="s">
        <v>18</v>
      </c>
      <c r="C67" t="s">
        <v>19</v>
      </c>
      <c r="D67" t="s">
        <v>229</v>
      </c>
      <c r="E67" t="s">
        <v>21</v>
      </c>
      <c r="F67" t="s">
        <v>35</v>
      </c>
      <c r="G67">
        <v>75201</v>
      </c>
      <c r="H67">
        <v>900</v>
      </c>
      <c r="I67">
        <v>0</v>
      </c>
      <c r="J67" s="4">
        <f>MAX(Inventory[[#This Row],[Qty On Hand]]-Inventory[[#This Row],[Qty Allocated]],0)</f>
        <v>900</v>
      </c>
      <c r="K67">
        <v>180</v>
      </c>
      <c r="L67" t="s">
        <v>297</v>
      </c>
      <c r="M67" t="s">
        <v>298</v>
      </c>
      <c r="N67" t="s">
        <v>299</v>
      </c>
      <c r="O67" t="s">
        <v>26</v>
      </c>
      <c r="P67" t="s">
        <v>300</v>
      </c>
      <c r="Q67" t="s">
        <v>34</v>
      </c>
    </row>
    <row r="68" spans="1:17" x14ac:dyDescent="0.25">
      <c r="A68" t="s">
        <v>228</v>
      </c>
      <c r="B68" t="s">
        <v>18</v>
      </c>
      <c r="C68" t="s">
        <v>19</v>
      </c>
      <c r="D68" t="s">
        <v>229</v>
      </c>
      <c r="E68" t="s">
        <v>21</v>
      </c>
      <c r="F68" t="s">
        <v>29</v>
      </c>
      <c r="G68">
        <v>98072</v>
      </c>
      <c r="H68">
        <v>700</v>
      </c>
      <c r="I68">
        <v>0</v>
      </c>
      <c r="J68" s="4">
        <f>MAX(Inventory[[#This Row],[Qty On Hand]]-Inventory[[#This Row],[Qty Allocated]],0)</f>
        <v>700</v>
      </c>
      <c r="K68">
        <v>160</v>
      </c>
      <c r="L68" t="s">
        <v>301</v>
      </c>
      <c r="M68" t="s">
        <v>302</v>
      </c>
      <c r="N68" t="s">
        <v>303</v>
      </c>
      <c r="O68" t="s">
        <v>26</v>
      </c>
      <c r="P68" t="s">
        <v>304</v>
      </c>
      <c r="Q68" t="s">
        <v>34</v>
      </c>
    </row>
    <row r="69" spans="1:17" x14ac:dyDescent="0.25">
      <c r="A69" t="s">
        <v>305</v>
      </c>
      <c r="B69" t="s">
        <v>18</v>
      </c>
      <c r="C69" t="s">
        <v>19</v>
      </c>
      <c r="D69" t="s">
        <v>229</v>
      </c>
      <c r="E69" t="s">
        <v>122</v>
      </c>
      <c r="F69" t="s">
        <v>22</v>
      </c>
      <c r="G69">
        <v>94102</v>
      </c>
      <c r="H69">
        <v>3</v>
      </c>
      <c r="I69">
        <v>2</v>
      </c>
      <c r="J69" s="4">
        <f>MAX(Inventory[[#This Row],[Qty On Hand]]-Inventory[[#This Row],[Qty Allocated]],0)</f>
        <v>1</v>
      </c>
      <c r="K69">
        <v>687</v>
      </c>
      <c r="L69" t="s">
        <v>306</v>
      </c>
      <c r="M69" t="s">
        <v>307</v>
      </c>
      <c r="N69" t="s">
        <v>308</v>
      </c>
      <c r="O69" t="s">
        <v>26</v>
      </c>
      <c r="P69" t="s">
        <v>309</v>
      </c>
      <c r="Q69" t="s">
        <v>40</v>
      </c>
    </row>
    <row r="70" spans="1:17" x14ac:dyDescent="0.25">
      <c r="A70" t="s">
        <v>305</v>
      </c>
      <c r="B70" t="s">
        <v>18</v>
      </c>
      <c r="C70" t="s">
        <v>19</v>
      </c>
      <c r="D70" t="s">
        <v>229</v>
      </c>
      <c r="E70" t="s">
        <v>122</v>
      </c>
      <c r="F70" t="s">
        <v>35</v>
      </c>
      <c r="G70">
        <v>75201</v>
      </c>
      <c r="H70">
        <v>92</v>
      </c>
      <c r="I70">
        <v>30</v>
      </c>
      <c r="J70" s="4">
        <f>MAX(Inventory[[#This Row],[Qty On Hand]]-Inventory[[#This Row],[Qty Allocated]],0)</f>
        <v>62</v>
      </c>
      <c r="K70">
        <v>301</v>
      </c>
      <c r="L70" t="s">
        <v>310</v>
      </c>
      <c r="M70" t="s">
        <v>311</v>
      </c>
      <c r="N70" t="s">
        <v>312</v>
      </c>
      <c r="O70" t="s">
        <v>26</v>
      </c>
      <c r="P70" t="s">
        <v>313</v>
      </c>
      <c r="Q70" t="s">
        <v>28</v>
      </c>
    </row>
    <row r="71" spans="1:17" x14ac:dyDescent="0.25">
      <c r="A71" t="s">
        <v>305</v>
      </c>
      <c r="B71" t="s">
        <v>18</v>
      </c>
      <c r="C71" t="s">
        <v>19</v>
      </c>
      <c r="D71" t="s">
        <v>229</v>
      </c>
      <c r="E71" t="s">
        <v>122</v>
      </c>
      <c r="F71" t="s">
        <v>35</v>
      </c>
      <c r="G71">
        <v>75201</v>
      </c>
      <c r="H71">
        <v>157</v>
      </c>
      <c r="I71">
        <v>99</v>
      </c>
      <c r="J71" s="4">
        <f>MAX(Inventory[[#This Row],[Qty On Hand]]-Inventory[[#This Row],[Qty Allocated]],0)</f>
        <v>58</v>
      </c>
      <c r="K71">
        <v>335</v>
      </c>
      <c r="L71" t="s">
        <v>314</v>
      </c>
      <c r="M71" t="s">
        <v>315</v>
      </c>
      <c r="N71" t="s">
        <v>316</v>
      </c>
      <c r="O71" t="s">
        <v>48</v>
      </c>
      <c r="P71" t="s">
        <v>317</v>
      </c>
      <c r="Q71" t="s">
        <v>28</v>
      </c>
    </row>
    <row r="72" spans="1:17" x14ac:dyDescent="0.25">
      <c r="A72" t="s">
        <v>305</v>
      </c>
      <c r="B72" t="s">
        <v>18</v>
      </c>
      <c r="C72" t="s">
        <v>19</v>
      </c>
      <c r="D72" t="s">
        <v>229</v>
      </c>
      <c r="E72" t="s">
        <v>122</v>
      </c>
      <c r="F72" t="s">
        <v>35</v>
      </c>
      <c r="G72">
        <v>75201</v>
      </c>
      <c r="H72">
        <v>129</v>
      </c>
      <c r="I72">
        <v>19</v>
      </c>
      <c r="J72" s="4">
        <f>MAX(Inventory[[#This Row],[Qty On Hand]]-Inventory[[#This Row],[Qty Allocated]],0)</f>
        <v>110</v>
      </c>
      <c r="K72">
        <v>364</v>
      </c>
      <c r="L72" t="s">
        <v>318</v>
      </c>
      <c r="M72" t="s">
        <v>319</v>
      </c>
      <c r="N72" t="s">
        <v>320</v>
      </c>
      <c r="O72" t="s">
        <v>26</v>
      </c>
      <c r="P72" t="s">
        <v>321</v>
      </c>
      <c r="Q72" t="s">
        <v>28</v>
      </c>
    </row>
    <row r="73" spans="1:17" x14ac:dyDescent="0.25">
      <c r="A73" t="s">
        <v>305</v>
      </c>
      <c r="B73" t="s">
        <v>18</v>
      </c>
      <c r="C73" t="s">
        <v>19</v>
      </c>
      <c r="D73" t="s">
        <v>229</v>
      </c>
      <c r="E73" t="s">
        <v>122</v>
      </c>
      <c r="F73" t="s">
        <v>35</v>
      </c>
      <c r="G73">
        <v>75201</v>
      </c>
      <c r="H73">
        <v>97</v>
      </c>
      <c r="I73">
        <v>12</v>
      </c>
      <c r="J73" s="4">
        <f>MAX(Inventory[[#This Row],[Qty On Hand]]-Inventory[[#This Row],[Qty Allocated]],0)</f>
        <v>85</v>
      </c>
      <c r="K73">
        <v>179</v>
      </c>
      <c r="L73" t="s">
        <v>322</v>
      </c>
      <c r="M73" t="s">
        <v>323</v>
      </c>
      <c r="N73" t="s">
        <v>324</v>
      </c>
      <c r="O73" t="s">
        <v>26</v>
      </c>
      <c r="P73" t="s">
        <v>199</v>
      </c>
      <c r="Q73" t="s">
        <v>34</v>
      </c>
    </row>
    <row r="74" spans="1:17" x14ac:dyDescent="0.25">
      <c r="A74" t="s">
        <v>305</v>
      </c>
      <c r="B74" t="s">
        <v>18</v>
      </c>
      <c r="C74" t="s">
        <v>19</v>
      </c>
      <c r="D74" t="s">
        <v>229</v>
      </c>
      <c r="E74" t="s">
        <v>122</v>
      </c>
      <c r="F74" t="s">
        <v>35</v>
      </c>
      <c r="G74">
        <v>75201</v>
      </c>
      <c r="H74">
        <v>155</v>
      </c>
      <c r="I74">
        <v>17</v>
      </c>
      <c r="J74" s="4">
        <f>MAX(Inventory[[#This Row],[Qty On Hand]]-Inventory[[#This Row],[Qty Allocated]],0)</f>
        <v>138</v>
      </c>
      <c r="K74">
        <v>273</v>
      </c>
      <c r="L74" t="s">
        <v>325</v>
      </c>
      <c r="M74" t="s">
        <v>326</v>
      </c>
      <c r="N74" t="s">
        <v>327</v>
      </c>
      <c r="O74" t="s">
        <v>26</v>
      </c>
      <c r="P74" t="s">
        <v>328</v>
      </c>
      <c r="Q74" t="s">
        <v>92</v>
      </c>
    </row>
    <row r="75" spans="1:17" x14ac:dyDescent="0.25">
      <c r="A75" t="s">
        <v>305</v>
      </c>
      <c r="B75" t="s">
        <v>18</v>
      </c>
      <c r="C75" t="s">
        <v>19</v>
      </c>
      <c r="D75" t="s">
        <v>229</v>
      </c>
      <c r="E75" t="s">
        <v>122</v>
      </c>
      <c r="F75" t="s">
        <v>35</v>
      </c>
      <c r="G75">
        <v>75201</v>
      </c>
      <c r="H75">
        <v>140</v>
      </c>
      <c r="I75">
        <v>46</v>
      </c>
      <c r="J75" s="4">
        <f>MAX(Inventory[[#This Row],[Qty On Hand]]-Inventory[[#This Row],[Qty Allocated]],0)</f>
        <v>94</v>
      </c>
      <c r="K75">
        <v>232</v>
      </c>
      <c r="L75" t="s">
        <v>329</v>
      </c>
      <c r="M75" t="s">
        <v>330</v>
      </c>
      <c r="N75" t="s">
        <v>331</v>
      </c>
      <c r="O75" t="s">
        <v>48</v>
      </c>
      <c r="P75" t="s">
        <v>332</v>
      </c>
      <c r="Q75" t="s">
        <v>92</v>
      </c>
    </row>
    <row r="76" spans="1:17" x14ac:dyDescent="0.25">
      <c r="A76" t="s">
        <v>305</v>
      </c>
      <c r="B76" t="s">
        <v>18</v>
      </c>
      <c r="C76" t="s">
        <v>19</v>
      </c>
      <c r="D76" t="s">
        <v>229</v>
      </c>
      <c r="E76" t="s">
        <v>122</v>
      </c>
      <c r="F76" t="s">
        <v>62</v>
      </c>
      <c r="G76">
        <v>63101</v>
      </c>
      <c r="H76">
        <v>115</v>
      </c>
      <c r="I76">
        <v>28</v>
      </c>
      <c r="J76" s="4">
        <f>MAX(Inventory[[#This Row],[Qty On Hand]]-Inventory[[#This Row],[Qty Allocated]],0)</f>
        <v>87</v>
      </c>
      <c r="K76">
        <v>178</v>
      </c>
      <c r="L76" t="s">
        <v>333</v>
      </c>
      <c r="M76" t="s">
        <v>334</v>
      </c>
      <c r="N76" t="s">
        <v>335</v>
      </c>
      <c r="O76" t="s">
        <v>26</v>
      </c>
      <c r="P76" t="s">
        <v>336</v>
      </c>
      <c r="Q76" t="s">
        <v>40</v>
      </c>
    </row>
    <row r="77" spans="1:17" x14ac:dyDescent="0.25">
      <c r="A77" t="s">
        <v>305</v>
      </c>
      <c r="B77" t="s">
        <v>18</v>
      </c>
      <c r="C77" t="s">
        <v>19</v>
      </c>
      <c r="D77" t="s">
        <v>229</v>
      </c>
      <c r="E77" t="s">
        <v>122</v>
      </c>
      <c r="F77" t="s">
        <v>62</v>
      </c>
      <c r="G77">
        <v>63101</v>
      </c>
      <c r="H77">
        <v>125</v>
      </c>
      <c r="I77">
        <v>66</v>
      </c>
      <c r="J77" s="4">
        <f>MAX(Inventory[[#This Row],[Qty On Hand]]-Inventory[[#This Row],[Qty Allocated]],0)</f>
        <v>59</v>
      </c>
      <c r="K77">
        <v>247</v>
      </c>
      <c r="L77" t="s">
        <v>337</v>
      </c>
      <c r="M77" t="s">
        <v>338</v>
      </c>
      <c r="N77" t="s">
        <v>339</v>
      </c>
      <c r="O77" t="s">
        <v>26</v>
      </c>
      <c r="P77" t="s">
        <v>340</v>
      </c>
      <c r="Q77" t="s">
        <v>92</v>
      </c>
    </row>
    <row r="78" spans="1:17" x14ac:dyDescent="0.25">
      <c r="A78" t="s">
        <v>305</v>
      </c>
      <c r="B78" t="s">
        <v>18</v>
      </c>
      <c r="C78" t="s">
        <v>19</v>
      </c>
      <c r="D78" t="s">
        <v>229</v>
      </c>
      <c r="E78" t="s">
        <v>122</v>
      </c>
      <c r="F78" t="s">
        <v>62</v>
      </c>
      <c r="G78">
        <v>63101</v>
      </c>
      <c r="H78">
        <v>168</v>
      </c>
      <c r="I78">
        <v>95</v>
      </c>
      <c r="J78" s="4">
        <f>MAX(Inventory[[#This Row],[Qty On Hand]]-Inventory[[#This Row],[Qty Allocated]],0)</f>
        <v>73</v>
      </c>
      <c r="K78">
        <v>241</v>
      </c>
      <c r="L78" t="s">
        <v>341</v>
      </c>
      <c r="M78" t="s">
        <v>342</v>
      </c>
      <c r="N78" t="s">
        <v>343</v>
      </c>
      <c r="O78" t="s">
        <v>26</v>
      </c>
      <c r="P78" t="s">
        <v>344</v>
      </c>
      <c r="Q78" t="s">
        <v>92</v>
      </c>
    </row>
    <row r="79" spans="1:17" x14ac:dyDescent="0.25">
      <c r="A79" t="s">
        <v>305</v>
      </c>
      <c r="B79" t="s">
        <v>18</v>
      </c>
      <c r="C79" t="s">
        <v>19</v>
      </c>
      <c r="D79" t="s">
        <v>229</v>
      </c>
      <c r="E79" t="s">
        <v>122</v>
      </c>
      <c r="F79" t="s">
        <v>62</v>
      </c>
      <c r="G79">
        <v>63101</v>
      </c>
      <c r="H79">
        <v>124</v>
      </c>
      <c r="I79">
        <v>89</v>
      </c>
      <c r="J79" s="4">
        <f>MAX(Inventory[[#This Row],[Qty On Hand]]-Inventory[[#This Row],[Qty Allocated]],0)</f>
        <v>35</v>
      </c>
      <c r="K79">
        <v>115</v>
      </c>
      <c r="L79" t="s">
        <v>345</v>
      </c>
      <c r="M79" t="s">
        <v>346</v>
      </c>
      <c r="N79" t="s">
        <v>347</v>
      </c>
      <c r="O79" t="s">
        <v>48</v>
      </c>
      <c r="P79" t="s">
        <v>348</v>
      </c>
      <c r="Q79" t="s">
        <v>28</v>
      </c>
    </row>
    <row r="80" spans="1:17" x14ac:dyDescent="0.25">
      <c r="A80" t="s">
        <v>305</v>
      </c>
      <c r="B80" t="s">
        <v>18</v>
      </c>
      <c r="C80" t="s">
        <v>19</v>
      </c>
      <c r="D80" t="s">
        <v>229</v>
      </c>
      <c r="E80" t="s">
        <v>122</v>
      </c>
      <c r="F80" t="s">
        <v>83</v>
      </c>
      <c r="G80">
        <v>28202</v>
      </c>
      <c r="H80">
        <v>143</v>
      </c>
      <c r="I80">
        <v>65</v>
      </c>
      <c r="J80" s="4">
        <f>MAX(Inventory[[#This Row],[Qty On Hand]]-Inventory[[#This Row],[Qty Allocated]],0)</f>
        <v>78</v>
      </c>
      <c r="K80">
        <v>280</v>
      </c>
      <c r="L80" t="s">
        <v>349</v>
      </c>
      <c r="M80" t="s">
        <v>350</v>
      </c>
      <c r="N80" t="s">
        <v>331</v>
      </c>
      <c r="O80" t="s">
        <v>26</v>
      </c>
      <c r="P80" t="s">
        <v>351</v>
      </c>
      <c r="Q80" t="s">
        <v>34</v>
      </c>
    </row>
    <row r="81" spans="1:17" x14ac:dyDescent="0.25">
      <c r="A81" t="s">
        <v>305</v>
      </c>
      <c r="B81" t="s">
        <v>18</v>
      </c>
      <c r="C81" t="s">
        <v>19</v>
      </c>
      <c r="D81" t="s">
        <v>229</v>
      </c>
      <c r="E81" t="s">
        <v>122</v>
      </c>
      <c r="F81" t="s">
        <v>83</v>
      </c>
      <c r="G81">
        <v>28202</v>
      </c>
      <c r="H81">
        <v>193</v>
      </c>
      <c r="I81">
        <v>53</v>
      </c>
      <c r="J81" s="4">
        <f>MAX(Inventory[[#This Row],[Qty On Hand]]-Inventory[[#This Row],[Qty Allocated]],0)</f>
        <v>140</v>
      </c>
      <c r="K81">
        <v>226</v>
      </c>
      <c r="L81" t="s">
        <v>352</v>
      </c>
      <c r="M81" t="s">
        <v>353</v>
      </c>
      <c r="N81" t="s">
        <v>354</v>
      </c>
      <c r="O81" t="s">
        <v>26</v>
      </c>
      <c r="P81" t="s">
        <v>355</v>
      </c>
      <c r="Q81" t="s">
        <v>34</v>
      </c>
    </row>
    <row r="82" spans="1:17" x14ac:dyDescent="0.25">
      <c r="A82" t="s">
        <v>305</v>
      </c>
      <c r="B82" t="s">
        <v>18</v>
      </c>
      <c r="C82" t="s">
        <v>19</v>
      </c>
      <c r="D82" t="s">
        <v>229</v>
      </c>
      <c r="E82" t="s">
        <v>122</v>
      </c>
      <c r="F82" t="s">
        <v>83</v>
      </c>
      <c r="G82">
        <v>28202</v>
      </c>
      <c r="H82">
        <v>116</v>
      </c>
      <c r="I82">
        <v>14</v>
      </c>
      <c r="J82" s="4">
        <f>MAX(Inventory[[#This Row],[Qty On Hand]]-Inventory[[#This Row],[Qty Allocated]],0)</f>
        <v>102</v>
      </c>
      <c r="K82">
        <v>318</v>
      </c>
      <c r="L82" t="s">
        <v>356</v>
      </c>
      <c r="M82" t="s">
        <v>357</v>
      </c>
      <c r="N82" t="s">
        <v>358</v>
      </c>
      <c r="O82" t="s">
        <v>26</v>
      </c>
      <c r="P82" t="s">
        <v>359</v>
      </c>
      <c r="Q82" t="s">
        <v>28</v>
      </c>
    </row>
    <row r="83" spans="1:17" x14ac:dyDescent="0.25">
      <c r="A83" t="s">
        <v>305</v>
      </c>
      <c r="B83" t="s">
        <v>18</v>
      </c>
      <c r="C83" t="s">
        <v>19</v>
      </c>
      <c r="D83" t="s">
        <v>229</v>
      </c>
      <c r="E83" t="s">
        <v>122</v>
      </c>
      <c r="F83" t="s">
        <v>83</v>
      </c>
      <c r="G83">
        <v>28202</v>
      </c>
      <c r="H83">
        <v>107</v>
      </c>
      <c r="I83">
        <v>41</v>
      </c>
      <c r="J83" s="4">
        <f>MAX(Inventory[[#This Row],[Qty On Hand]]-Inventory[[#This Row],[Qty Allocated]],0)</f>
        <v>66</v>
      </c>
      <c r="K83">
        <v>175</v>
      </c>
      <c r="L83" t="s">
        <v>270</v>
      </c>
      <c r="M83" t="s">
        <v>360</v>
      </c>
      <c r="N83" t="s">
        <v>361</v>
      </c>
      <c r="O83" t="s">
        <v>26</v>
      </c>
      <c r="P83" t="s">
        <v>362</v>
      </c>
      <c r="Q83" t="s">
        <v>40</v>
      </c>
    </row>
    <row r="84" spans="1:17" x14ac:dyDescent="0.25">
      <c r="A84" t="s">
        <v>305</v>
      </c>
      <c r="B84" t="s">
        <v>18</v>
      </c>
      <c r="C84" t="s">
        <v>19</v>
      </c>
      <c r="D84" t="s">
        <v>229</v>
      </c>
      <c r="E84" t="s">
        <v>122</v>
      </c>
      <c r="F84" t="s">
        <v>83</v>
      </c>
      <c r="G84">
        <v>28202</v>
      </c>
      <c r="H84">
        <v>115</v>
      </c>
      <c r="I84">
        <v>60</v>
      </c>
      <c r="J84" s="4">
        <f>MAX(Inventory[[#This Row],[Qty On Hand]]-Inventory[[#This Row],[Qty Allocated]],0)</f>
        <v>55</v>
      </c>
      <c r="K84">
        <v>135</v>
      </c>
      <c r="L84" t="s">
        <v>363</v>
      </c>
      <c r="M84" t="s">
        <v>364</v>
      </c>
      <c r="N84" t="s">
        <v>316</v>
      </c>
      <c r="O84" t="s">
        <v>26</v>
      </c>
      <c r="P84" t="s">
        <v>365</v>
      </c>
      <c r="Q84" t="s">
        <v>34</v>
      </c>
    </row>
    <row r="85" spans="1:17" x14ac:dyDescent="0.25">
      <c r="A85" t="s">
        <v>305</v>
      </c>
      <c r="B85" t="s">
        <v>18</v>
      </c>
      <c r="C85" t="s">
        <v>19</v>
      </c>
      <c r="D85" t="s">
        <v>229</v>
      </c>
      <c r="E85" t="s">
        <v>122</v>
      </c>
      <c r="F85" t="s">
        <v>83</v>
      </c>
      <c r="G85">
        <v>28202</v>
      </c>
      <c r="H85">
        <v>140</v>
      </c>
      <c r="I85">
        <v>20</v>
      </c>
      <c r="J85" s="4">
        <f>MAX(Inventory[[#This Row],[Qty On Hand]]-Inventory[[#This Row],[Qty Allocated]],0)</f>
        <v>120</v>
      </c>
      <c r="K85">
        <v>387</v>
      </c>
      <c r="L85" t="s">
        <v>366</v>
      </c>
      <c r="M85" t="s">
        <v>367</v>
      </c>
      <c r="N85" t="s">
        <v>368</v>
      </c>
      <c r="O85" t="s">
        <v>26</v>
      </c>
      <c r="P85" t="s">
        <v>369</v>
      </c>
      <c r="Q85" t="s">
        <v>92</v>
      </c>
    </row>
    <row r="86" spans="1:17" x14ac:dyDescent="0.25">
      <c r="A86" t="s">
        <v>370</v>
      </c>
      <c r="B86" t="s">
        <v>18</v>
      </c>
      <c r="C86" t="s">
        <v>19</v>
      </c>
      <c r="D86" t="s">
        <v>229</v>
      </c>
      <c r="E86" t="s">
        <v>171</v>
      </c>
      <c r="F86" t="s">
        <v>22</v>
      </c>
      <c r="G86">
        <v>94102</v>
      </c>
      <c r="H86">
        <v>9</v>
      </c>
      <c r="I86">
        <v>4</v>
      </c>
      <c r="J86" s="4">
        <f>MAX(Inventory[[#This Row],[Qty On Hand]]-Inventory[[#This Row],[Qty Allocated]],0)</f>
        <v>5</v>
      </c>
      <c r="K86">
        <v>418</v>
      </c>
      <c r="L86" t="s">
        <v>371</v>
      </c>
      <c r="M86" t="s">
        <v>372</v>
      </c>
      <c r="N86" t="s">
        <v>373</v>
      </c>
      <c r="O86" t="s">
        <v>26</v>
      </c>
      <c r="P86" t="s">
        <v>374</v>
      </c>
      <c r="Q86" t="s">
        <v>40</v>
      </c>
    </row>
    <row r="87" spans="1:17" x14ac:dyDescent="0.25">
      <c r="A87" t="s">
        <v>370</v>
      </c>
      <c r="B87" t="s">
        <v>18</v>
      </c>
      <c r="C87" t="s">
        <v>19</v>
      </c>
      <c r="D87" t="s">
        <v>229</v>
      </c>
      <c r="E87" t="s">
        <v>171</v>
      </c>
      <c r="F87" t="s">
        <v>35</v>
      </c>
      <c r="G87">
        <v>75201</v>
      </c>
      <c r="H87">
        <v>90</v>
      </c>
      <c r="I87">
        <v>22</v>
      </c>
      <c r="J87" s="4">
        <f>MAX(Inventory[[#This Row],[Qty On Hand]]-Inventory[[#This Row],[Qty Allocated]],0)</f>
        <v>68</v>
      </c>
      <c r="K87">
        <v>109</v>
      </c>
      <c r="L87" t="s">
        <v>375</v>
      </c>
      <c r="M87" t="s">
        <v>376</v>
      </c>
      <c r="N87" t="s">
        <v>377</v>
      </c>
      <c r="O87" t="s">
        <v>26</v>
      </c>
      <c r="P87" t="s">
        <v>378</v>
      </c>
      <c r="Q87" t="s">
        <v>34</v>
      </c>
    </row>
    <row r="88" spans="1:17" x14ac:dyDescent="0.25">
      <c r="A88" t="s">
        <v>370</v>
      </c>
      <c r="B88" t="s">
        <v>18</v>
      </c>
      <c r="C88" t="s">
        <v>19</v>
      </c>
      <c r="D88" t="s">
        <v>229</v>
      </c>
      <c r="E88" t="s">
        <v>171</v>
      </c>
      <c r="F88" t="s">
        <v>35</v>
      </c>
      <c r="G88">
        <v>75201</v>
      </c>
      <c r="H88">
        <v>113</v>
      </c>
      <c r="I88">
        <v>46</v>
      </c>
      <c r="J88" s="4">
        <f>MAX(Inventory[[#This Row],[Qty On Hand]]-Inventory[[#This Row],[Qty Allocated]],0)</f>
        <v>67</v>
      </c>
      <c r="K88">
        <v>142</v>
      </c>
      <c r="L88" t="s">
        <v>379</v>
      </c>
      <c r="M88" t="s">
        <v>380</v>
      </c>
      <c r="N88" t="s">
        <v>381</v>
      </c>
      <c r="O88" t="s">
        <v>48</v>
      </c>
      <c r="P88" t="s">
        <v>382</v>
      </c>
      <c r="Q88" t="s">
        <v>40</v>
      </c>
    </row>
    <row r="89" spans="1:17" x14ac:dyDescent="0.25">
      <c r="A89" t="s">
        <v>370</v>
      </c>
      <c r="B89" t="s">
        <v>18</v>
      </c>
      <c r="C89" t="s">
        <v>19</v>
      </c>
      <c r="D89" t="s">
        <v>229</v>
      </c>
      <c r="E89" t="s">
        <v>171</v>
      </c>
      <c r="F89" t="s">
        <v>35</v>
      </c>
      <c r="G89">
        <v>75201</v>
      </c>
      <c r="H89">
        <v>150</v>
      </c>
      <c r="I89">
        <v>50</v>
      </c>
      <c r="J89" s="4">
        <f>MAX(Inventory[[#This Row],[Qty On Hand]]-Inventory[[#This Row],[Qty Allocated]],0)</f>
        <v>100</v>
      </c>
      <c r="K89">
        <v>349</v>
      </c>
      <c r="L89" t="s">
        <v>383</v>
      </c>
      <c r="M89" t="s">
        <v>384</v>
      </c>
      <c r="N89" t="s">
        <v>385</v>
      </c>
      <c r="O89" t="s">
        <v>26</v>
      </c>
      <c r="P89" t="s">
        <v>386</v>
      </c>
      <c r="Q89" t="s">
        <v>34</v>
      </c>
    </row>
    <row r="90" spans="1:17" x14ac:dyDescent="0.25">
      <c r="A90" t="s">
        <v>370</v>
      </c>
      <c r="B90" t="s">
        <v>18</v>
      </c>
      <c r="C90" t="s">
        <v>19</v>
      </c>
      <c r="D90" t="s">
        <v>229</v>
      </c>
      <c r="E90" t="s">
        <v>171</v>
      </c>
      <c r="F90" t="s">
        <v>35</v>
      </c>
      <c r="G90">
        <v>75201</v>
      </c>
      <c r="H90">
        <v>115</v>
      </c>
      <c r="I90">
        <v>1</v>
      </c>
      <c r="J90" s="4">
        <f>MAX(Inventory[[#This Row],[Qty On Hand]]-Inventory[[#This Row],[Qty Allocated]],0)</f>
        <v>114</v>
      </c>
      <c r="K90">
        <v>350</v>
      </c>
      <c r="L90" t="s">
        <v>387</v>
      </c>
      <c r="M90" t="s">
        <v>388</v>
      </c>
      <c r="N90" t="s">
        <v>389</v>
      </c>
      <c r="O90" t="s">
        <v>48</v>
      </c>
      <c r="P90" t="s">
        <v>390</v>
      </c>
      <c r="Q90" t="s">
        <v>28</v>
      </c>
    </row>
    <row r="91" spans="1:17" x14ac:dyDescent="0.25">
      <c r="A91" t="s">
        <v>370</v>
      </c>
      <c r="B91" t="s">
        <v>18</v>
      </c>
      <c r="C91" t="s">
        <v>19</v>
      </c>
      <c r="D91" t="s">
        <v>229</v>
      </c>
      <c r="E91" t="s">
        <v>171</v>
      </c>
      <c r="F91" t="s">
        <v>35</v>
      </c>
      <c r="G91">
        <v>75201</v>
      </c>
      <c r="H91">
        <v>164</v>
      </c>
      <c r="I91">
        <v>71</v>
      </c>
      <c r="J91" s="4">
        <f>MAX(Inventory[[#This Row],[Qty On Hand]]-Inventory[[#This Row],[Qty Allocated]],0)</f>
        <v>93</v>
      </c>
      <c r="K91">
        <v>226</v>
      </c>
      <c r="L91" t="s">
        <v>391</v>
      </c>
      <c r="M91" t="s">
        <v>392</v>
      </c>
      <c r="N91" t="s">
        <v>393</v>
      </c>
      <c r="O91" t="s">
        <v>26</v>
      </c>
      <c r="P91" t="s">
        <v>394</v>
      </c>
      <c r="Q91" t="s">
        <v>34</v>
      </c>
    </row>
    <row r="92" spans="1:17" x14ac:dyDescent="0.25">
      <c r="A92" t="s">
        <v>370</v>
      </c>
      <c r="B92" t="s">
        <v>18</v>
      </c>
      <c r="C92" t="s">
        <v>19</v>
      </c>
      <c r="D92" t="s">
        <v>229</v>
      </c>
      <c r="E92" t="s">
        <v>171</v>
      </c>
      <c r="F92" t="s">
        <v>62</v>
      </c>
      <c r="G92">
        <v>63101</v>
      </c>
      <c r="H92">
        <v>96</v>
      </c>
      <c r="I92">
        <v>33</v>
      </c>
      <c r="J92" s="4">
        <f>MAX(Inventory[[#This Row],[Qty On Hand]]-Inventory[[#This Row],[Qty Allocated]],0)</f>
        <v>63</v>
      </c>
      <c r="K92">
        <v>288</v>
      </c>
      <c r="L92" t="s">
        <v>395</v>
      </c>
      <c r="M92" t="s">
        <v>396</v>
      </c>
      <c r="N92" t="s">
        <v>397</v>
      </c>
      <c r="O92" t="s">
        <v>48</v>
      </c>
      <c r="P92" t="s">
        <v>398</v>
      </c>
      <c r="Q92" t="s">
        <v>28</v>
      </c>
    </row>
    <row r="93" spans="1:17" x14ac:dyDescent="0.25">
      <c r="A93" t="s">
        <v>370</v>
      </c>
      <c r="B93" t="s">
        <v>18</v>
      </c>
      <c r="C93" t="s">
        <v>19</v>
      </c>
      <c r="D93" t="s">
        <v>229</v>
      </c>
      <c r="E93" t="s">
        <v>171</v>
      </c>
      <c r="F93" t="s">
        <v>62</v>
      </c>
      <c r="G93">
        <v>63101</v>
      </c>
      <c r="H93">
        <v>125</v>
      </c>
      <c r="I93">
        <v>57</v>
      </c>
      <c r="J93" s="4">
        <f>MAX(Inventory[[#This Row],[Qty On Hand]]-Inventory[[#This Row],[Qty Allocated]],0)</f>
        <v>68</v>
      </c>
      <c r="K93">
        <v>120</v>
      </c>
      <c r="L93" t="s">
        <v>399</v>
      </c>
      <c r="M93" t="s">
        <v>400</v>
      </c>
      <c r="N93" t="s">
        <v>401</v>
      </c>
      <c r="O93" t="s">
        <v>26</v>
      </c>
      <c r="P93" t="s">
        <v>402</v>
      </c>
      <c r="Q93" t="s">
        <v>34</v>
      </c>
    </row>
    <row r="94" spans="1:17" x14ac:dyDescent="0.25">
      <c r="A94" t="s">
        <v>370</v>
      </c>
      <c r="B94" t="s">
        <v>18</v>
      </c>
      <c r="C94" t="s">
        <v>19</v>
      </c>
      <c r="D94" t="s">
        <v>229</v>
      </c>
      <c r="E94" t="s">
        <v>171</v>
      </c>
      <c r="F94" t="s">
        <v>62</v>
      </c>
      <c r="G94">
        <v>63101</v>
      </c>
      <c r="H94">
        <v>190</v>
      </c>
      <c r="I94">
        <v>8</v>
      </c>
      <c r="J94" s="4">
        <f>MAX(Inventory[[#This Row],[Qty On Hand]]-Inventory[[#This Row],[Qty Allocated]],0)</f>
        <v>182</v>
      </c>
      <c r="K94">
        <v>276</v>
      </c>
      <c r="L94" t="s">
        <v>403</v>
      </c>
      <c r="M94" t="s">
        <v>404</v>
      </c>
      <c r="N94" t="s">
        <v>405</v>
      </c>
      <c r="O94" t="s">
        <v>26</v>
      </c>
      <c r="P94" t="s">
        <v>406</v>
      </c>
      <c r="Q94" t="s">
        <v>28</v>
      </c>
    </row>
    <row r="95" spans="1:17" x14ac:dyDescent="0.25">
      <c r="A95" t="s">
        <v>370</v>
      </c>
      <c r="B95" t="s">
        <v>18</v>
      </c>
      <c r="C95" t="s">
        <v>19</v>
      </c>
      <c r="D95" t="s">
        <v>229</v>
      </c>
      <c r="E95" t="s">
        <v>171</v>
      </c>
      <c r="F95" t="s">
        <v>62</v>
      </c>
      <c r="G95">
        <v>63101</v>
      </c>
      <c r="H95">
        <v>132</v>
      </c>
      <c r="I95">
        <v>74</v>
      </c>
      <c r="J95" s="4">
        <f>MAX(Inventory[[#This Row],[Qty On Hand]]-Inventory[[#This Row],[Qty Allocated]],0)</f>
        <v>58</v>
      </c>
      <c r="K95">
        <v>354</v>
      </c>
      <c r="L95" t="s">
        <v>407</v>
      </c>
      <c r="M95" t="s">
        <v>408</v>
      </c>
      <c r="N95" t="s">
        <v>409</v>
      </c>
      <c r="O95" t="s">
        <v>48</v>
      </c>
      <c r="P95" t="s">
        <v>410</v>
      </c>
      <c r="Q95" t="s">
        <v>40</v>
      </c>
    </row>
    <row r="96" spans="1:17" x14ac:dyDescent="0.25">
      <c r="A96" t="s">
        <v>370</v>
      </c>
      <c r="B96" t="s">
        <v>18</v>
      </c>
      <c r="C96" t="s">
        <v>19</v>
      </c>
      <c r="D96" t="s">
        <v>229</v>
      </c>
      <c r="E96" t="s">
        <v>171</v>
      </c>
      <c r="F96" t="s">
        <v>62</v>
      </c>
      <c r="G96">
        <v>63101</v>
      </c>
      <c r="H96">
        <v>150</v>
      </c>
      <c r="I96">
        <v>91</v>
      </c>
      <c r="J96" s="4">
        <f>MAX(Inventory[[#This Row],[Qty On Hand]]-Inventory[[#This Row],[Qty Allocated]],0)</f>
        <v>59</v>
      </c>
      <c r="K96">
        <v>134</v>
      </c>
      <c r="L96" t="s">
        <v>411</v>
      </c>
      <c r="M96" t="s">
        <v>412</v>
      </c>
      <c r="N96" t="s">
        <v>413</v>
      </c>
      <c r="O96" t="s">
        <v>48</v>
      </c>
      <c r="P96" t="s">
        <v>414</v>
      </c>
      <c r="Q96" t="s">
        <v>40</v>
      </c>
    </row>
    <row r="97" spans="1:17" x14ac:dyDescent="0.25">
      <c r="A97" t="s">
        <v>370</v>
      </c>
      <c r="B97" t="s">
        <v>18</v>
      </c>
      <c r="C97" t="s">
        <v>19</v>
      </c>
      <c r="D97" t="s">
        <v>229</v>
      </c>
      <c r="E97" t="s">
        <v>171</v>
      </c>
      <c r="F97" t="s">
        <v>62</v>
      </c>
      <c r="G97">
        <v>63101</v>
      </c>
      <c r="H97">
        <v>135</v>
      </c>
      <c r="I97">
        <v>54</v>
      </c>
      <c r="J97" s="4">
        <f>MAX(Inventory[[#This Row],[Qty On Hand]]-Inventory[[#This Row],[Qty Allocated]],0)</f>
        <v>81</v>
      </c>
      <c r="K97">
        <v>215</v>
      </c>
      <c r="L97" t="s">
        <v>415</v>
      </c>
      <c r="M97" t="s">
        <v>416</v>
      </c>
      <c r="N97" t="s">
        <v>417</v>
      </c>
      <c r="O97" t="s">
        <v>26</v>
      </c>
      <c r="P97" t="s">
        <v>418</v>
      </c>
      <c r="Q97" t="s">
        <v>28</v>
      </c>
    </row>
    <row r="98" spans="1:17" x14ac:dyDescent="0.25">
      <c r="A98" t="s">
        <v>370</v>
      </c>
      <c r="B98" t="s">
        <v>18</v>
      </c>
      <c r="C98" t="s">
        <v>19</v>
      </c>
      <c r="D98" t="s">
        <v>229</v>
      </c>
      <c r="E98" t="s">
        <v>171</v>
      </c>
      <c r="F98" t="s">
        <v>83</v>
      </c>
      <c r="G98">
        <v>28202</v>
      </c>
      <c r="H98">
        <v>182</v>
      </c>
      <c r="I98">
        <v>0</v>
      </c>
      <c r="J98" s="4">
        <f>MAX(Inventory[[#This Row],[Qty On Hand]]-Inventory[[#This Row],[Qty Allocated]],0)</f>
        <v>182</v>
      </c>
      <c r="K98">
        <v>231</v>
      </c>
      <c r="L98" t="s">
        <v>63</v>
      </c>
      <c r="M98" t="s">
        <v>419</v>
      </c>
      <c r="N98" t="s">
        <v>420</v>
      </c>
      <c r="O98" t="s">
        <v>48</v>
      </c>
      <c r="P98" t="s">
        <v>421</v>
      </c>
      <c r="Q98" t="s">
        <v>40</v>
      </c>
    </row>
    <row r="99" spans="1:17" x14ac:dyDescent="0.25">
      <c r="A99" t="s">
        <v>370</v>
      </c>
      <c r="B99" t="s">
        <v>18</v>
      </c>
      <c r="C99" t="s">
        <v>19</v>
      </c>
      <c r="D99" t="s">
        <v>229</v>
      </c>
      <c r="E99" t="s">
        <v>171</v>
      </c>
      <c r="F99" t="s">
        <v>83</v>
      </c>
      <c r="G99">
        <v>28202</v>
      </c>
      <c r="H99">
        <v>147</v>
      </c>
      <c r="I99">
        <v>59</v>
      </c>
      <c r="J99" s="4">
        <f>MAX(Inventory[[#This Row],[Qty On Hand]]-Inventory[[#This Row],[Qty Allocated]],0)</f>
        <v>88</v>
      </c>
      <c r="K99">
        <v>206</v>
      </c>
      <c r="L99" t="s">
        <v>422</v>
      </c>
      <c r="M99" t="s">
        <v>423</v>
      </c>
      <c r="N99" t="s">
        <v>424</v>
      </c>
      <c r="O99" t="s">
        <v>26</v>
      </c>
      <c r="P99" t="s">
        <v>425</v>
      </c>
      <c r="Q99" t="s">
        <v>28</v>
      </c>
    </row>
    <row r="100" spans="1:17" x14ac:dyDescent="0.25">
      <c r="A100" t="s">
        <v>370</v>
      </c>
      <c r="B100" t="s">
        <v>18</v>
      </c>
      <c r="C100" t="s">
        <v>19</v>
      </c>
      <c r="D100" t="s">
        <v>229</v>
      </c>
      <c r="E100" t="s">
        <v>171</v>
      </c>
      <c r="F100" t="s">
        <v>83</v>
      </c>
      <c r="G100">
        <v>28202</v>
      </c>
      <c r="H100">
        <v>121</v>
      </c>
      <c r="I100">
        <v>32</v>
      </c>
      <c r="J100" s="4">
        <f>MAX(Inventory[[#This Row],[Qty On Hand]]-Inventory[[#This Row],[Qty Allocated]],0)</f>
        <v>89</v>
      </c>
      <c r="K100">
        <v>258</v>
      </c>
      <c r="L100" t="s">
        <v>426</v>
      </c>
      <c r="M100" t="s">
        <v>427</v>
      </c>
      <c r="N100" t="s">
        <v>190</v>
      </c>
      <c r="O100" t="s">
        <v>48</v>
      </c>
      <c r="P100" t="s">
        <v>428</v>
      </c>
      <c r="Q100" t="s">
        <v>92</v>
      </c>
    </row>
    <row r="101" spans="1:17" x14ac:dyDescent="0.25">
      <c r="A101" t="s">
        <v>370</v>
      </c>
      <c r="B101" t="s">
        <v>18</v>
      </c>
      <c r="C101" t="s">
        <v>19</v>
      </c>
      <c r="D101" t="s">
        <v>229</v>
      </c>
      <c r="E101" t="s">
        <v>171</v>
      </c>
      <c r="F101" t="s">
        <v>83</v>
      </c>
      <c r="G101">
        <v>28202</v>
      </c>
      <c r="H101">
        <v>77</v>
      </c>
      <c r="I101">
        <v>76</v>
      </c>
      <c r="J101" s="4">
        <f>MAX(Inventory[[#This Row],[Qty On Hand]]-Inventory[[#This Row],[Qty Allocated]],0)</f>
        <v>1</v>
      </c>
      <c r="K101">
        <v>386</v>
      </c>
      <c r="L101" t="s">
        <v>429</v>
      </c>
      <c r="M101" t="s">
        <v>430</v>
      </c>
      <c r="N101" t="s">
        <v>431</v>
      </c>
      <c r="O101" t="s">
        <v>26</v>
      </c>
      <c r="P101" t="s">
        <v>432</v>
      </c>
      <c r="Q101" t="s">
        <v>28</v>
      </c>
    </row>
    <row r="102" spans="1:17" x14ac:dyDescent="0.25">
      <c r="A102" t="s">
        <v>433</v>
      </c>
      <c r="B102" t="s">
        <v>18</v>
      </c>
      <c r="C102" t="s">
        <v>19</v>
      </c>
      <c r="D102" t="s">
        <v>434</v>
      </c>
      <c r="E102" t="s">
        <v>21</v>
      </c>
      <c r="F102" t="s">
        <v>22</v>
      </c>
      <c r="G102">
        <v>94102</v>
      </c>
      <c r="H102">
        <v>5</v>
      </c>
      <c r="I102">
        <v>1</v>
      </c>
      <c r="J102" s="4">
        <f>MAX(Inventory[[#This Row],[Qty On Hand]]-Inventory[[#This Row],[Qty Allocated]],0)</f>
        <v>4</v>
      </c>
      <c r="K102">
        <v>461</v>
      </c>
      <c r="L102" t="s">
        <v>435</v>
      </c>
      <c r="M102" t="s">
        <v>436</v>
      </c>
      <c r="N102" t="s">
        <v>437</v>
      </c>
      <c r="O102" t="s">
        <v>26</v>
      </c>
      <c r="P102" t="s">
        <v>438</v>
      </c>
      <c r="Q102" t="s">
        <v>34</v>
      </c>
    </row>
    <row r="103" spans="1:17" x14ac:dyDescent="0.25">
      <c r="A103" t="s">
        <v>433</v>
      </c>
      <c r="B103" t="s">
        <v>18</v>
      </c>
      <c r="C103" t="s">
        <v>19</v>
      </c>
      <c r="D103" t="s">
        <v>434</v>
      </c>
      <c r="E103" t="s">
        <v>21</v>
      </c>
      <c r="F103" t="s">
        <v>29</v>
      </c>
      <c r="G103">
        <v>98072</v>
      </c>
      <c r="H103">
        <v>2117</v>
      </c>
      <c r="I103">
        <v>76</v>
      </c>
      <c r="J103" s="4">
        <f>MAX(Inventory[[#This Row],[Qty On Hand]]-Inventory[[#This Row],[Qty Allocated]],0)</f>
        <v>2041</v>
      </c>
      <c r="K103">
        <v>417</v>
      </c>
      <c r="L103" t="s">
        <v>439</v>
      </c>
      <c r="M103" t="s">
        <v>440</v>
      </c>
      <c r="N103" t="s">
        <v>441</v>
      </c>
      <c r="O103" t="s">
        <v>26</v>
      </c>
      <c r="P103" t="s">
        <v>74</v>
      </c>
      <c r="Q103" t="s">
        <v>92</v>
      </c>
    </row>
    <row r="104" spans="1:17" x14ac:dyDescent="0.25">
      <c r="A104" t="s">
        <v>433</v>
      </c>
      <c r="B104" t="s">
        <v>18</v>
      </c>
      <c r="C104" t="s">
        <v>19</v>
      </c>
      <c r="D104" t="s">
        <v>434</v>
      </c>
      <c r="E104" t="s">
        <v>21</v>
      </c>
      <c r="F104" t="s">
        <v>35</v>
      </c>
      <c r="G104">
        <v>75201</v>
      </c>
      <c r="H104">
        <v>107</v>
      </c>
      <c r="I104">
        <v>93</v>
      </c>
      <c r="J104" s="4">
        <f>MAX(Inventory[[#This Row],[Qty On Hand]]-Inventory[[#This Row],[Qty Allocated]],0)</f>
        <v>14</v>
      </c>
      <c r="K104">
        <v>297</v>
      </c>
      <c r="L104" t="s">
        <v>442</v>
      </c>
      <c r="M104" t="s">
        <v>443</v>
      </c>
      <c r="N104" t="s">
        <v>444</v>
      </c>
      <c r="O104" t="s">
        <v>26</v>
      </c>
      <c r="P104" t="s">
        <v>445</v>
      </c>
      <c r="Q104" t="s">
        <v>92</v>
      </c>
    </row>
    <row r="105" spans="1:17" x14ac:dyDescent="0.25">
      <c r="A105" t="s">
        <v>433</v>
      </c>
      <c r="B105" t="s">
        <v>18</v>
      </c>
      <c r="C105" t="s">
        <v>19</v>
      </c>
      <c r="D105" t="s">
        <v>434</v>
      </c>
      <c r="E105" t="s">
        <v>21</v>
      </c>
      <c r="F105" t="s">
        <v>35</v>
      </c>
      <c r="G105">
        <v>75201</v>
      </c>
      <c r="H105">
        <v>167</v>
      </c>
      <c r="I105">
        <v>3</v>
      </c>
      <c r="J105" s="4">
        <f>MAX(Inventory[[#This Row],[Qty On Hand]]-Inventory[[#This Row],[Qty Allocated]],0)</f>
        <v>164</v>
      </c>
      <c r="K105">
        <v>286</v>
      </c>
      <c r="L105" t="s">
        <v>446</v>
      </c>
      <c r="M105" t="s">
        <v>447</v>
      </c>
      <c r="N105" t="s">
        <v>448</v>
      </c>
      <c r="O105" t="s">
        <v>26</v>
      </c>
      <c r="P105" t="s">
        <v>449</v>
      </c>
      <c r="Q105" t="s">
        <v>28</v>
      </c>
    </row>
    <row r="106" spans="1:17" x14ac:dyDescent="0.25">
      <c r="A106" t="s">
        <v>433</v>
      </c>
      <c r="B106" t="s">
        <v>18</v>
      </c>
      <c r="C106" t="s">
        <v>19</v>
      </c>
      <c r="D106" t="s">
        <v>434</v>
      </c>
      <c r="E106" t="s">
        <v>21</v>
      </c>
      <c r="F106" t="s">
        <v>35</v>
      </c>
      <c r="G106">
        <v>75201</v>
      </c>
      <c r="H106">
        <v>146</v>
      </c>
      <c r="I106">
        <v>24</v>
      </c>
      <c r="J106" s="4">
        <f>MAX(Inventory[[#This Row],[Qty On Hand]]-Inventory[[#This Row],[Qty Allocated]],0)</f>
        <v>122</v>
      </c>
      <c r="K106">
        <v>252</v>
      </c>
      <c r="L106" t="s">
        <v>450</v>
      </c>
      <c r="M106" t="s">
        <v>451</v>
      </c>
      <c r="N106" t="s">
        <v>86</v>
      </c>
      <c r="O106" t="s">
        <v>48</v>
      </c>
      <c r="P106" t="s">
        <v>452</v>
      </c>
      <c r="Q106" t="s">
        <v>92</v>
      </c>
    </row>
    <row r="107" spans="1:17" x14ac:dyDescent="0.25">
      <c r="A107" t="s">
        <v>433</v>
      </c>
      <c r="B107" t="s">
        <v>18</v>
      </c>
      <c r="C107" t="s">
        <v>19</v>
      </c>
      <c r="D107" t="s">
        <v>434</v>
      </c>
      <c r="E107" t="s">
        <v>21</v>
      </c>
      <c r="F107" t="s">
        <v>62</v>
      </c>
      <c r="G107">
        <v>63101</v>
      </c>
      <c r="H107">
        <v>74</v>
      </c>
      <c r="I107">
        <v>19</v>
      </c>
      <c r="J107" s="4">
        <f>MAX(Inventory[[#This Row],[Qty On Hand]]-Inventory[[#This Row],[Qty Allocated]],0)</f>
        <v>55</v>
      </c>
      <c r="K107">
        <v>202</v>
      </c>
      <c r="L107" t="s">
        <v>453</v>
      </c>
      <c r="M107" t="s">
        <v>454</v>
      </c>
      <c r="N107" t="s">
        <v>455</v>
      </c>
      <c r="O107" t="s">
        <v>26</v>
      </c>
      <c r="P107" t="s">
        <v>456</v>
      </c>
      <c r="Q107" t="s">
        <v>40</v>
      </c>
    </row>
    <row r="108" spans="1:17" x14ac:dyDescent="0.25">
      <c r="A108" t="s">
        <v>433</v>
      </c>
      <c r="B108" t="s">
        <v>18</v>
      </c>
      <c r="C108" t="s">
        <v>19</v>
      </c>
      <c r="D108" t="s">
        <v>434</v>
      </c>
      <c r="E108" t="s">
        <v>21</v>
      </c>
      <c r="F108" t="s">
        <v>62</v>
      </c>
      <c r="G108">
        <v>63101</v>
      </c>
      <c r="H108">
        <v>156</v>
      </c>
      <c r="I108">
        <v>98</v>
      </c>
      <c r="J108" s="4">
        <f>MAX(Inventory[[#This Row],[Qty On Hand]]-Inventory[[#This Row],[Qty Allocated]],0)</f>
        <v>58</v>
      </c>
      <c r="K108">
        <v>361</v>
      </c>
      <c r="L108" t="s">
        <v>457</v>
      </c>
      <c r="M108" t="s">
        <v>458</v>
      </c>
      <c r="N108" t="s">
        <v>459</v>
      </c>
      <c r="O108" t="s">
        <v>26</v>
      </c>
      <c r="P108" t="s">
        <v>460</v>
      </c>
      <c r="Q108" t="s">
        <v>28</v>
      </c>
    </row>
    <row r="109" spans="1:17" x14ac:dyDescent="0.25">
      <c r="A109" t="s">
        <v>433</v>
      </c>
      <c r="B109" t="s">
        <v>18</v>
      </c>
      <c r="C109" t="s">
        <v>19</v>
      </c>
      <c r="D109" t="s">
        <v>434</v>
      </c>
      <c r="E109" t="s">
        <v>21</v>
      </c>
      <c r="F109" t="s">
        <v>62</v>
      </c>
      <c r="G109">
        <v>63101</v>
      </c>
      <c r="H109">
        <v>92</v>
      </c>
      <c r="I109">
        <v>68</v>
      </c>
      <c r="J109" s="4">
        <f>MAX(Inventory[[#This Row],[Qty On Hand]]-Inventory[[#This Row],[Qty Allocated]],0)</f>
        <v>24</v>
      </c>
      <c r="K109">
        <v>130</v>
      </c>
      <c r="L109" t="s">
        <v>461</v>
      </c>
      <c r="M109" t="s">
        <v>462</v>
      </c>
      <c r="N109" t="s">
        <v>463</v>
      </c>
      <c r="O109" t="s">
        <v>26</v>
      </c>
      <c r="P109" t="s">
        <v>464</v>
      </c>
      <c r="Q109" t="s">
        <v>28</v>
      </c>
    </row>
    <row r="110" spans="1:17" x14ac:dyDescent="0.25">
      <c r="A110" t="s">
        <v>433</v>
      </c>
      <c r="B110" t="s">
        <v>18</v>
      </c>
      <c r="C110" t="s">
        <v>19</v>
      </c>
      <c r="D110" t="s">
        <v>434</v>
      </c>
      <c r="E110" t="s">
        <v>21</v>
      </c>
      <c r="F110" t="s">
        <v>83</v>
      </c>
      <c r="G110">
        <v>28202</v>
      </c>
      <c r="H110">
        <v>111</v>
      </c>
      <c r="I110">
        <v>16</v>
      </c>
      <c r="J110" s="4">
        <f>MAX(Inventory[[#This Row],[Qty On Hand]]-Inventory[[#This Row],[Qty Allocated]],0)</f>
        <v>95</v>
      </c>
      <c r="K110">
        <v>181</v>
      </c>
      <c r="L110" t="s">
        <v>465</v>
      </c>
      <c r="M110" t="s">
        <v>466</v>
      </c>
      <c r="N110" t="s">
        <v>467</v>
      </c>
      <c r="O110" t="s">
        <v>26</v>
      </c>
      <c r="P110" t="s">
        <v>468</v>
      </c>
      <c r="Q110" t="s">
        <v>40</v>
      </c>
    </row>
    <row r="111" spans="1:17" x14ac:dyDescent="0.25">
      <c r="A111" t="s">
        <v>433</v>
      </c>
      <c r="B111" t="s">
        <v>18</v>
      </c>
      <c r="C111" t="s">
        <v>19</v>
      </c>
      <c r="D111" t="s">
        <v>434</v>
      </c>
      <c r="E111" t="s">
        <v>21</v>
      </c>
      <c r="F111" t="s">
        <v>83</v>
      </c>
      <c r="G111">
        <v>28202</v>
      </c>
      <c r="H111">
        <v>111</v>
      </c>
      <c r="I111">
        <v>75</v>
      </c>
      <c r="J111" s="4">
        <f>MAX(Inventory[[#This Row],[Qty On Hand]]-Inventory[[#This Row],[Qty Allocated]],0)</f>
        <v>36</v>
      </c>
      <c r="K111">
        <v>255</v>
      </c>
      <c r="L111" t="s">
        <v>469</v>
      </c>
      <c r="M111" t="s">
        <v>470</v>
      </c>
      <c r="N111" t="s">
        <v>471</v>
      </c>
      <c r="O111" t="s">
        <v>26</v>
      </c>
      <c r="P111" t="s">
        <v>472</v>
      </c>
      <c r="Q111" t="s">
        <v>28</v>
      </c>
    </row>
    <row r="112" spans="1:17" x14ac:dyDescent="0.25">
      <c r="A112" t="s">
        <v>433</v>
      </c>
      <c r="B112" t="s">
        <v>18</v>
      </c>
      <c r="C112" t="s">
        <v>19</v>
      </c>
      <c r="D112" t="s">
        <v>434</v>
      </c>
      <c r="E112" t="s">
        <v>21</v>
      </c>
      <c r="F112" t="s">
        <v>83</v>
      </c>
      <c r="G112">
        <v>28202</v>
      </c>
      <c r="H112">
        <v>118</v>
      </c>
      <c r="I112">
        <v>41</v>
      </c>
      <c r="J112" s="4">
        <f>MAX(Inventory[[#This Row],[Qty On Hand]]-Inventory[[#This Row],[Qty Allocated]],0)</f>
        <v>77</v>
      </c>
      <c r="K112">
        <v>242</v>
      </c>
      <c r="L112" t="s">
        <v>282</v>
      </c>
      <c r="M112" t="s">
        <v>473</v>
      </c>
      <c r="N112" t="s">
        <v>474</v>
      </c>
      <c r="O112" t="s">
        <v>26</v>
      </c>
      <c r="P112" t="s">
        <v>475</v>
      </c>
      <c r="Q112" t="s">
        <v>34</v>
      </c>
    </row>
    <row r="113" spans="1:17" x14ac:dyDescent="0.25">
      <c r="A113" t="s">
        <v>433</v>
      </c>
      <c r="B113" t="s">
        <v>18</v>
      </c>
      <c r="C113" t="s">
        <v>19</v>
      </c>
      <c r="D113" t="s">
        <v>434</v>
      </c>
      <c r="E113" t="s">
        <v>21</v>
      </c>
      <c r="F113" t="s">
        <v>83</v>
      </c>
      <c r="G113">
        <v>28202</v>
      </c>
      <c r="H113">
        <v>154</v>
      </c>
      <c r="I113">
        <v>70</v>
      </c>
      <c r="J113" s="4">
        <f>MAX(Inventory[[#This Row],[Qty On Hand]]-Inventory[[#This Row],[Qty Allocated]],0)</f>
        <v>84</v>
      </c>
      <c r="K113">
        <v>260</v>
      </c>
      <c r="L113" t="s">
        <v>476</v>
      </c>
      <c r="M113" t="s">
        <v>477</v>
      </c>
      <c r="N113" t="s">
        <v>478</v>
      </c>
      <c r="O113" t="s">
        <v>26</v>
      </c>
      <c r="P113" t="s">
        <v>340</v>
      </c>
      <c r="Q113" t="s">
        <v>28</v>
      </c>
    </row>
    <row r="114" spans="1:17" x14ac:dyDescent="0.25">
      <c r="A114" t="s">
        <v>433</v>
      </c>
      <c r="B114" t="s">
        <v>18</v>
      </c>
      <c r="C114" t="s">
        <v>19</v>
      </c>
      <c r="D114" t="s">
        <v>434</v>
      </c>
      <c r="E114" t="s">
        <v>21</v>
      </c>
      <c r="F114" t="s">
        <v>62</v>
      </c>
      <c r="G114">
        <v>63101</v>
      </c>
      <c r="H114">
        <v>2600</v>
      </c>
      <c r="I114">
        <v>0</v>
      </c>
      <c r="J114" s="4">
        <f>MAX(Inventory[[#This Row],[Qty On Hand]]-Inventory[[#This Row],[Qty Allocated]],0)</f>
        <v>2600</v>
      </c>
      <c r="K114">
        <v>240</v>
      </c>
      <c r="L114" t="s">
        <v>479</v>
      </c>
      <c r="M114" t="s">
        <v>480</v>
      </c>
      <c r="N114" t="s">
        <v>481</v>
      </c>
      <c r="O114" t="s">
        <v>26</v>
      </c>
      <c r="P114" t="s">
        <v>482</v>
      </c>
      <c r="Q114" t="s">
        <v>92</v>
      </c>
    </row>
    <row r="115" spans="1:17" x14ac:dyDescent="0.25">
      <c r="A115" t="s">
        <v>433</v>
      </c>
      <c r="B115" t="s">
        <v>18</v>
      </c>
      <c r="C115" t="s">
        <v>19</v>
      </c>
      <c r="D115" t="s">
        <v>434</v>
      </c>
      <c r="E115" t="s">
        <v>21</v>
      </c>
      <c r="F115" t="s">
        <v>35</v>
      </c>
      <c r="G115">
        <v>75201</v>
      </c>
      <c r="H115">
        <v>900</v>
      </c>
      <c r="I115">
        <v>0</v>
      </c>
      <c r="J115" s="4">
        <f>MAX(Inventory[[#This Row],[Qty On Hand]]-Inventory[[#This Row],[Qty Allocated]],0)</f>
        <v>900</v>
      </c>
      <c r="K115">
        <v>180</v>
      </c>
      <c r="L115" t="s">
        <v>483</v>
      </c>
      <c r="M115" t="s">
        <v>484</v>
      </c>
      <c r="N115" t="s">
        <v>485</v>
      </c>
      <c r="O115" t="s">
        <v>26</v>
      </c>
      <c r="P115" t="s">
        <v>486</v>
      </c>
      <c r="Q115" t="s">
        <v>92</v>
      </c>
    </row>
    <row r="116" spans="1:17" x14ac:dyDescent="0.25">
      <c r="A116" t="s">
        <v>433</v>
      </c>
      <c r="B116" t="s">
        <v>18</v>
      </c>
      <c r="C116" t="s">
        <v>19</v>
      </c>
      <c r="D116" t="s">
        <v>434</v>
      </c>
      <c r="E116" t="s">
        <v>21</v>
      </c>
      <c r="F116" t="s">
        <v>29</v>
      </c>
      <c r="G116">
        <v>98072</v>
      </c>
      <c r="H116">
        <v>700</v>
      </c>
      <c r="I116">
        <v>0</v>
      </c>
      <c r="J116" s="4">
        <f>MAX(Inventory[[#This Row],[Qty On Hand]]-Inventory[[#This Row],[Qty Allocated]],0)</f>
        <v>700</v>
      </c>
      <c r="K116">
        <v>160</v>
      </c>
      <c r="L116" t="s">
        <v>487</v>
      </c>
      <c r="M116" t="s">
        <v>488</v>
      </c>
      <c r="N116" t="s">
        <v>489</v>
      </c>
      <c r="O116" t="s">
        <v>26</v>
      </c>
      <c r="P116" t="s">
        <v>490</v>
      </c>
      <c r="Q116" t="s">
        <v>92</v>
      </c>
    </row>
    <row r="117" spans="1:17" x14ac:dyDescent="0.25">
      <c r="A117" t="s">
        <v>491</v>
      </c>
      <c r="B117" t="s">
        <v>18</v>
      </c>
      <c r="C117" t="s">
        <v>19</v>
      </c>
      <c r="D117" t="s">
        <v>434</v>
      </c>
      <c r="E117" t="s">
        <v>122</v>
      </c>
      <c r="F117" t="s">
        <v>22</v>
      </c>
      <c r="G117">
        <v>94102</v>
      </c>
      <c r="H117">
        <v>6</v>
      </c>
      <c r="I117">
        <v>1</v>
      </c>
      <c r="J117" s="4">
        <f>MAX(Inventory[[#This Row],[Qty On Hand]]-Inventory[[#This Row],[Qty Allocated]],0)</f>
        <v>5</v>
      </c>
      <c r="K117">
        <v>679</v>
      </c>
      <c r="L117" t="s">
        <v>492</v>
      </c>
      <c r="M117" t="s">
        <v>493</v>
      </c>
      <c r="N117" t="s">
        <v>494</v>
      </c>
      <c r="O117" t="s">
        <v>26</v>
      </c>
      <c r="P117" t="s">
        <v>495</v>
      </c>
      <c r="Q117" t="s">
        <v>34</v>
      </c>
    </row>
    <row r="118" spans="1:17" x14ac:dyDescent="0.25">
      <c r="A118" t="s">
        <v>491</v>
      </c>
      <c r="B118" t="s">
        <v>18</v>
      </c>
      <c r="C118" t="s">
        <v>19</v>
      </c>
      <c r="D118" t="s">
        <v>434</v>
      </c>
      <c r="E118" t="s">
        <v>122</v>
      </c>
      <c r="F118" t="s">
        <v>35</v>
      </c>
      <c r="G118">
        <v>75201</v>
      </c>
      <c r="H118">
        <v>164</v>
      </c>
      <c r="I118">
        <v>37</v>
      </c>
      <c r="J118" s="4">
        <f>MAX(Inventory[[#This Row],[Qty On Hand]]-Inventory[[#This Row],[Qty Allocated]],0)</f>
        <v>127</v>
      </c>
      <c r="K118">
        <v>121</v>
      </c>
      <c r="L118" t="s">
        <v>496</v>
      </c>
      <c r="M118" t="s">
        <v>497</v>
      </c>
      <c r="N118" t="s">
        <v>498</v>
      </c>
      <c r="O118" t="s">
        <v>26</v>
      </c>
      <c r="P118" t="s">
        <v>499</v>
      </c>
      <c r="Q118" t="s">
        <v>34</v>
      </c>
    </row>
    <row r="119" spans="1:17" x14ac:dyDescent="0.25">
      <c r="A119" t="s">
        <v>491</v>
      </c>
      <c r="B119" t="s">
        <v>18</v>
      </c>
      <c r="C119" t="s">
        <v>19</v>
      </c>
      <c r="D119" t="s">
        <v>434</v>
      </c>
      <c r="E119" t="s">
        <v>122</v>
      </c>
      <c r="F119" t="s">
        <v>35</v>
      </c>
      <c r="G119">
        <v>75201</v>
      </c>
      <c r="H119">
        <v>136</v>
      </c>
      <c r="I119">
        <v>20</v>
      </c>
      <c r="J119" s="4">
        <f>MAX(Inventory[[#This Row],[Qty On Hand]]-Inventory[[#This Row],[Qty Allocated]],0)</f>
        <v>116</v>
      </c>
      <c r="K119">
        <v>261</v>
      </c>
      <c r="L119" t="s">
        <v>500</v>
      </c>
      <c r="M119" t="s">
        <v>501</v>
      </c>
      <c r="N119" t="s">
        <v>502</v>
      </c>
      <c r="O119" t="s">
        <v>26</v>
      </c>
      <c r="P119" t="s">
        <v>503</v>
      </c>
      <c r="Q119" t="s">
        <v>34</v>
      </c>
    </row>
    <row r="120" spans="1:17" x14ac:dyDescent="0.25">
      <c r="A120" t="s">
        <v>491</v>
      </c>
      <c r="B120" t="s">
        <v>18</v>
      </c>
      <c r="C120" t="s">
        <v>19</v>
      </c>
      <c r="D120" t="s">
        <v>434</v>
      </c>
      <c r="E120" t="s">
        <v>122</v>
      </c>
      <c r="F120" t="s">
        <v>35</v>
      </c>
      <c r="G120">
        <v>75201</v>
      </c>
      <c r="H120">
        <v>103</v>
      </c>
      <c r="I120">
        <v>55</v>
      </c>
      <c r="J120" s="4">
        <f>MAX(Inventory[[#This Row],[Qty On Hand]]-Inventory[[#This Row],[Qty Allocated]],0)</f>
        <v>48</v>
      </c>
      <c r="K120">
        <v>229</v>
      </c>
      <c r="L120" t="s">
        <v>504</v>
      </c>
      <c r="M120" t="s">
        <v>505</v>
      </c>
      <c r="N120" t="s">
        <v>506</v>
      </c>
      <c r="O120" t="s">
        <v>26</v>
      </c>
      <c r="P120" t="s">
        <v>507</v>
      </c>
      <c r="Q120" t="s">
        <v>40</v>
      </c>
    </row>
    <row r="121" spans="1:17" x14ac:dyDescent="0.25">
      <c r="A121" t="s">
        <v>491</v>
      </c>
      <c r="B121" t="s">
        <v>18</v>
      </c>
      <c r="C121" t="s">
        <v>19</v>
      </c>
      <c r="D121" t="s">
        <v>434</v>
      </c>
      <c r="E121" t="s">
        <v>122</v>
      </c>
      <c r="F121" t="s">
        <v>35</v>
      </c>
      <c r="G121">
        <v>75201</v>
      </c>
      <c r="H121">
        <v>152</v>
      </c>
      <c r="I121">
        <v>93</v>
      </c>
      <c r="J121" s="4">
        <f>MAX(Inventory[[#This Row],[Qty On Hand]]-Inventory[[#This Row],[Qty Allocated]],0)</f>
        <v>59</v>
      </c>
      <c r="K121">
        <v>103</v>
      </c>
      <c r="L121" t="s">
        <v>508</v>
      </c>
      <c r="M121" t="s">
        <v>509</v>
      </c>
      <c r="N121" t="s">
        <v>510</v>
      </c>
      <c r="O121" t="s">
        <v>26</v>
      </c>
      <c r="P121" t="s">
        <v>511</v>
      </c>
      <c r="Q121" t="s">
        <v>92</v>
      </c>
    </row>
    <row r="122" spans="1:17" x14ac:dyDescent="0.25">
      <c r="A122" t="s">
        <v>491</v>
      </c>
      <c r="B122" t="s">
        <v>18</v>
      </c>
      <c r="C122" t="s">
        <v>19</v>
      </c>
      <c r="D122" t="s">
        <v>434</v>
      </c>
      <c r="E122" t="s">
        <v>122</v>
      </c>
      <c r="F122" t="s">
        <v>62</v>
      </c>
      <c r="G122">
        <v>63101</v>
      </c>
      <c r="H122">
        <v>123</v>
      </c>
      <c r="I122">
        <v>29</v>
      </c>
      <c r="J122" s="4">
        <f>MAX(Inventory[[#This Row],[Qty On Hand]]-Inventory[[#This Row],[Qty Allocated]],0)</f>
        <v>94</v>
      </c>
      <c r="K122">
        <v>356</v>
      </c>
      <c r="L122" t="s">
        <v>512</v>
      </c>
      <c r="M122" t="s">
        <v>513</v>
      </c>
      <c r="N122" t="s">
        <v>514</v>
      </c>
      <c r="O122" t="s">
        <v>48</v>
      </c>
      <c r="P122" t="s">
        <v>515</v>
      </c>
      <c r="Q122" t="s">
        <v>34</v>
      </c>
    </row>
    <row r="123" spans="1:17" x14ac:dyDescent="0.25">
      <c r="A123" t="s">
        <v>491</v>
      </c>
      <c r="B123" t="s">
        <v>18</v>
      </c>
      <c r="C123" t="s">
        <v>19</v>
      </c>
      <c r="D123" t="s">
        <v>434</v>
      </c>
      <c r="E123" t="s">
        <v>122</v>
      </c>
      <c r="F123" t="s">
        <v>62</v>
      </c>
      <c r="G123">
        <v>63101</v>
      </c>
      <c r="H123">
        <v>85</v>
      </c>
      <c r="I123">
        <v>59</v>
      </c>
      <c r="J123" s="4">
        <f>MAX(Inventory[[#This Row],[Qty On Hand]]-Inventory[[#This Row],[Qty Allocated]],0)</f>
        <v>26</v>
      </c>
      <c r="K123">
        <v>212</v>
      </c>
      <c r="L123" t="s">
        <v>516</v>
      </c>
      <c r="M123" t="s">
        <v>517</v>
      </c>
      <c r="N123" t="s">
        <v>518</v>
      </c>
      <c r="O123" t="s">
        <v>26</v>
      </c>
      <c r="P123" t="s">
        <v>519</v>
      </c>
      <c r="Q123" t="s">
        <v>28</v>
      </c>
    </row>
    <row r="124" spans="1:17" x14ac:dyDescent="0.25">
      <c r="A124" t="s">
        <v>491</v>
      </c>
      <c r="B124" t="s">
        <v>18</v>
      </c>
      <c r="C124" t="s">
        <v>19</v>
      </c>
      <c r="D124" t="s">
        <v>434</v>
      </c>
      <c r="E124" t="s">
        <v>122</v>
      </c>
      <c r="F124" t="s">
        <v>62</v>
      </c>
      <c r="G124">
        <v>63101</v>
      </c>
      <c r="H124">
        <v>112</v>
      </c>
      <c r="I124">
        <v>90</v>
      </c>
      <c r="J124" s="4">
        <f>MAX(Inventory[[#This Row],[Qty On Hand]]-Inventory[[#This Row],[Qty Allocated]],0)</f>
        <v>22</v>
      </c>
      <c r="K124">
        <v>391</v>
      </c>
      <c r="L124" t="s">
        <v>520</v>
      </c>
      <c r="M124" t="s">
        <v>521</v>
      </c>
      <c r="N124" t="s">
        <v>389</v>
      </c>
      <c r="O124" t="s">
        <v>26</v>
      </c>
      <c r="P124" t="s">
        <v>522</v>
      </c>
      <c r="Q124" t="s">
        <v>92</v>
      </c>
    </row>
    <row r="125" spans="1:17" x14ac:dyDescent="0.25">
      <c r="A125" t="s">
        <v>491</v>
      </c>
      <c r="B125" t="s">
        <v>18</v>
      </c>
      <c r="C125" t="s">
        <v>19</v>
      </c>
      <c r="D125" t="s">
        <v>434</v>
      </c>
      <c r="E125" t="s">
        <v>122</v>
      </c>
      <c r="F125" t="s">
        <v>62</v>
      </c>
      <c r="G125">
        <v>63101</v>
      </c>
      <c r="H125">
        <v>123</v>
      </c>
      <c r="I125">
        <v>36</v>
      </c>
      <c r="J125" s="4">
        <f>MAX(Inventory[[#This Row],[Qty On Hand]]-Inventory[[#This Row],[Qty Allocated]],0)</f>
        <v>87</v>
      </c>
      <c r="K125">
        <v>124</v>
      </c>
      <c r="L125" t="s">
        <v>523</v>
      </c>
      <c r="M125" t="s">
        <v>524</v>
      </c>
      <c r="N125" t="s">
        <v>525</v>
      </c>
      <c r="O125" t="s">
        <v>26</v>
      </c>
      <c r="P125" t="s">
        <v>348</v>
      </c>
      <c r="Q125" t="s">
        <v>34</v>
      </c>
    </row>
    <row r="126" spans="1:17" x14ac:dyDescent="0.25">
      <c r="A126" t="s">
        <v>491</v>
      </c>
      <c r="B126" t="s">
        <v>18</v>
      </c>
      <c r="C126" t="s">
        <v>19</v>
      </c>
      <c r="D126" t="s">
        <v>434</v>
      </c>
      <c r="E126" t="s">
        <v>122</v>
      </c>
      <c r="F126" t="s">
        <v>62</v>
      </c>
      <c r="G126">
        <v>63101</v>
      </c>
      <c r="H126">
        <v>85</v>
      </c>
      <c r="I126">
        <v>37</v>
      </c>
      <c r="J126" s="4">
        <f>MAX(Inventory[[#This Row],[Qty On Hand]]-Inventory[[#This Row],[Qty Allocated]],0)</f>
        <v>48</v>
      </c>
      <c r="K126">
        <v>380</v>
      </c>
      <c r="L126" t="s">
        <v>526</v>
      </c>
      <c r="M126" t="s">
        <v>527</v>
      </c>
      <c r="N126" t="s">
        <v>405</v>
      </c>
      <c r="O126" t="s">
        <v>26</v>
      </c>
      <c r="P126" t="s">
        <v>528</v>
      </c>
      <c r="Q126" t="s">
        <v>92</v>
      </c>
    </row>
    <row r="127" spans="1:17" x14ac:dyDescent="0.25">
      <c r="A127" t="s">
        <v>491</v>
      </c>
      <c r="B127" t="s">
        <v>18</v>
      </c>
      <c r="C127" t="s">
        <v>19</v>
      </c>
      <c r="D127" t="s">
        <v>434</v>
      </c>
      <c r="E127" t="s">
        <v>122</v>
      </c>
      <c r="F127" t="s">
        <v>62</v>
      </c>
      <c r="G127">
        <v>63101</v>
      </c>
      <c r="H127">
        <v>66</v>
      </c>
      <c r="I127">
        <v>37</v>
      </c>
      <c r="J127" s="4">
        <f>MAX(Inventory[[#This Row],[Qty On Hand]]-Inventory[[#This Row],[Qty Allocated]],0)</f>
        <v>29</v>
      </c>
      <c r="K127">
        <v>115</v>
      </c>
      <c r="L127" t="s">
        <v>529</v>
      </c>
      <c r="M127" t="s">
        <v>530</v>
      </c>
      <c r="N127" t="s">
        <v>531</v>
      </c>
      <c r="O127" t="s">
        <v>26</v>
      </c>
      <c r="P127" t="s">
        <v>532</v>
      </c>
      <c r="Q127" t="s">
        <v>34</v>
      </c>
    </row>
    <row r="128" spans="1:17" x14ac:dyDescent="0.25">
      <c r="A128" t="s">
        <v>491</v>
      </c>
      <c r="B128" t="s">
        <v>18</v>
      </c>
      <c r="C128" t="s">
        <v>19</v>
      </c>
      <c r="D128" t="s">
        <v>434</v>
      </c>
      <c r="E128" t="s">
        <v>122</v>
      </c>
      <c r="F128" t="s">
        <v>83</v>
      </c>
      <c r="G128">
        <v>28202</v>
      </c>
      <c r="H128">
        <v>137</v>
      </c>
      <c r="I128">
        <v>67</v>
      </c>
      <c r="J128" s="4">
        <f>MAX(Inventory[[#This Row],[Qty On Hand]]-Inventory[[#This Row],[Qty Allocated]],0)</f>
        <v>70</v>
      </c>
      <c r="K128">
        <v>168</v>
      </c>
      <c r="L128" t="s">
        <v>533</v>
      </c>
      <c r="M128" t="s">
        <v>534</v>
      </c>
      <c r="N128" t="s">
        <v>60</v>
      </c>
      <c r="O128" t="s">
        <v>26</v>
      </c>
      <c r="P128" t="s">
        <v>535</v>
      </c>
      <c r="Q128" t="s">
        <v>92</v>
      </c>
    </row>
    <row r="129" spans="1:17" x14ac:dyDescent="0.25">
      <c r="A129" t="s">
        <v>491</v>
      </c>
      <c r="B129" t="s">
        <v>18</v>
      </c>
      <c r="C129" t="s">
        <v>19</v>
      </c>
      <c r="D129" t="s">
        <v>434</v>
      </c>
      <c r="E129" t="s">
        <v>122</v>
      </c>
      <c r="F129" t="s">
        <v>83</v>
      </c>
      <c r="G129">
        <v>28202</v>
      </c>
      <c r="H129">
        <v>145</v>
      </c>
      <c r="I129">
        <v>30</v>
      </c>
      <c r="J129" s="4">
        <f>MAX(Inventory[[#This Row],[Qty On Hand]]-Inventory[[#This Row],[Qty Allocated]],0)</f>
        <v>115</v>
      </c>
      <c r="K129">
        <v>138</v>
      </c>
      <c r="L129" t="s">
        <v>536</v>
      </c>
      <c r="M129" t="s">
        <v>537</v>
      </c>
      <c r="N129" t="s">
        <v>538</v>
      </c>
      <c r="O129" t="s">
        <v>26</v>
      </c>
      <c r="P129" t="s">
        <v>539</v>
      </c>
      <c r="Q129" t="s">
        <v>28</v>
      </c>
    </row>
    <row r="130" spans="1:17" x14ac:dyDescent="0.25">
      <c r="A130" t="s">
        <v>491</v>
      </c>
      <c r="B130" t="s">
        <v>18</v>
      </c>
      <c r="C130" t="s">
        <v>19</v>
      </c>
      <c r="D130" t="s">
        <v>434</v>
      </c>
      <c r="E130" t="s">
        <v>122</v>
      </c>
      <c r="F130" t="s">
        <v>83</v>
      </c>
      <c r="G130">
        <v>28202</v>
      </c>
      <c r="H130">
        <v>72</v>
      </c>
      <c r="I130">
        <v>78</v>
      </c>
      <c r="J130" s="4">
        <f>MAX(Inventory[[#This Row],[Qty On Hand]]-Inventory[[#This Row],[Qty Allocated]],0)</f>
        <v>0</v>
      </c>
      <c r="K130">
        <v>119</v>
      </c>
      <c r="L130" t="s">
        <v>540</v>
      </c>
      <c r="M130" t="s">
        <v>541</v>
      </c>
      <c r="N130" t="s">
        <v>542</v>
      </c>
      <c r="O130" t="s">
        <v>48</v>
      </c>
      <c r="P130" t="s">
        <v>543</v>
      </c>
      <c r="Q130" t="s">
        <v>92</v>
      </c>
    </row>
    <row r="131" spans="1:17" x14ac:dyDescent="0.25">
      <c r="A131" t="s">
        <v>491</v>
      </c>
      <c r="B131" t="s">
        <v>18</v>
      </c>
      <c r="C131" t="s">
        <v>19</v>
      </c>
      <c r="D131" t="s">
        <v>434</v>
      </c>
      <c r="E131" t="s">
        <v>122</v>
      </c>
      <c r="F131" t="s">
        <v>83</v>
      </c>
      <c r="G131">
        <v>28202</v>
      </c>
      <c r="H131">
        <v>109</v>
      </c>
      <c r="I131">
        <v>4</v>
      </c>
      <c r="J131" s="4">
        <f>MAX(Inventory[[#This Row],[Qty On Hand]]-Inventory[[#This Row],[Qty Allocated]],0)</f>
        <v>105</v>
      </c>
      <c r="K131">
        <v>203</v>
      </c>
      <c r="L131" t="s">
        <v>544</v>
      </c>
      <c r="M131" t="s">
        <v>545</v>
      </c>
      <c r="N131" t="s">
        <v>546</v>
      </c>
      <c r="O131" t="s">
        <v>26</v>
      </c>
      <c r="P131" t="s">
        <v>394</v>
      </c>
      <c r="Q131" t="s">
        <v>34</v>
      </c>
    </row>
    <row r="132" spans="1:17" x14ac:dyDescent="0.25">
      <c r="A132" t="s">
        <v>491</v>
      </c>
      <c r="B132" t="s">
        <v>18</v>
      </c>
      <c r="C132" t="s">
        <v>19</v>
      </c>
      <c r="D132" t="s">
        <v>434</v>
      </c>
      <c r="E132" t="s">
        <v>122</v>
      </c>
      <c r="F132" t="s">
        <v>83</v>
      </c>
      <c r="G132">
        <v>28202</v>
      </c>
      <c r="H132">
        <v>125</v>
      </c>
      <c r="I132">
        <v>19</v>
      </c>
      <c r="J132" s="4">
        <f>MAX(Inventory[[#This Row],[Qty On Hand]]-Inventory[[#This Row],[Qty Allocated]],0)</f>
        <v>106</v>
      </c>
      <c r="K132">
        <v>178</v>
      </c>
      <c r="L132" t="s">
        <v>547</v>
      </c>
      <c r="M132" t="s">
        <v>548</v>
      </c>
      <c r="N132" t="s">
        <v>549</v>
      </c>
      <c r="O132" t="s">
        <v>26</v>
      </c>
      <c r="P132" t="s">
        <v>175</v>
      </c>
      <c r="Q132" t="s">
        <v>34</v>
      </c>
    </row>
    <row r="133" spans="1:17" x14ac:dyDescent="0.25">
      <c r="A133" t="s">
        <v>491</v>
      </c>
      <c r="B133" t="s">
        <v>18</v>
      </c>
      <c r="C133" t="s">
        <v>19</v>
      </c>
      <c r="D133" t="s">
        <v>434</v>
      </c>
      <c r="E133" t="s">
        <v>122</v>
      </c>
      <c r="F133" t="s">
        <v>83</v>
      </c>
      <c r="G133">
        <v>28202</v>
      </c>
      <c r="H133">
        <v>71</v>
      </c>
      <c r="I133">
        <v>26</v>
      </c>
      <c r="J133" s="4">
        <f>MAX(Inventory[[#This Row],[Qty On Hand]]-Inventory[[#This Row],[Qty Allocated]],0)</f>
        <v>45</v>
      </c>
      <c r="K133">
        <v>126</v>
      </c>
      <c r="L133" t="s">
        <v>550</v>
      </c>
      <c r="M133" t="s">
        <v>551</v>
      </c>
      <c r="N133" t="s">
        <v>552</v>
      </c>
      <c r="O133" t="s">
        <v>26</v>
      </c>
      <c r="P133" t="s">
        <v>553</v>
      </c>
      <c r="Q133" t="s">
        <v>40</v>
      </c>
    </row>
    <row r="134" spans="1:17" x14ac:dyDescent="0.25">
      <c r="A134" t="s">
        <v>554</v>
      </c>
      <c r="B134" t="s">
        <v>18</v>
      </c>
      <c r="C134" t="s">
        <v>19</v>
      </c>
      <c r="D134" t="s">
        <v>434</v>
      </c>
      <c r="E134" t="s">
        <v>171</v>
      </c>
      <c r="F134" t="s">
        <v>22</v>
      </c>
      <c r="G134">
        <v>94102</v>
      </c>
      <c r="H134">
        <v>2</v>
      </c>
      <c r="I134">
        <v>0</v>
      </c>
      <c r="J134" s="4">
        <f>MAX(Inventory[[#This Row],[Qty On Hand]]-Inventory[[#This Row],[Qty Allocated]],0)</f>
        <v>2</v>
      </c>
      <c r="K134">
        <v>353</v>
      </c>
      <c r="L134" t="s">
        <v>555</v>
      </c>
      <c r="M134" t="s">
        <v>556</v>
      </c>
      <c r="N134" t="s">
        <v>557</v>
      </c>
      <c r="O134" t="s">
        <v>26</v>
      </c>
      <c r="P134" t="s">
        <v>558</v>
      </c>
      <c r="Q134" t="s">
        <v>28</v>
      </c>
    </row>
    <row r="135" spans="1:17" x14ac:dyDescent="0.25">
      <c r="A135" t="s">
        <v>554</v>
      </c>
      <c r="B135" t="s">
        <v>18</v>
      </c>
      <c r="C135" t="s">
        <v>19</v>
      </c>
      <c r="D135" t="s">
        <v>434</v>
      </c>
      <c r="E135" t="s">
        <v>171</v>
      </c>
      <c r="F135" t="s">
        <v>35</v>
      </c>
      <c r="G135">
        <v>75201</v>
      </c>
      <c r="H135">
        <v>81</v>
      </c>
      <c r="I135">
        <v>80</v>
      </c>
      <c r="J135" s="4">
        <f>MAX(Inventory[[#This Row],[Qty On Hand]]-Inventory[[#This Row],[Qty Allocated]],0)</f>
        <v>1</v>
      </c>
      <c r="K135">
        <v>115</v>
      </c>
      <c r="L135" t="s">
        <v>559</v>
      </c>
      <c r="M135" t="s">
        <v>560</v>
      </c>
      <c r="N135" t="s">
        <v>561</v>
      </c>
      <c r="O135" t="s">
        <v>26</v>
      </c>
      <c r="P135" t="s">
        <v>365</v>
      </c>
      <c r="Q135" t="s">
        <v>92</v>
      </c>
    </row>
    <row r="136" spans="1:17" x14ac:dyDescent="0.25">
      <c r="A136" t="s">
        <v>554</v>
      </c>
      <c r="B136" t="s">
        <v>18</v>
      </c>
      <c r="C136" t="s">
        <v>19</v>
      </c>
      <c r="D136" t="s">
        <v>434</v>
      </c>
      <c r="E136" t="s">
        <v>171</v>
      </c>
      <c r="F136" t="s">
        <v>35</v>
      </c>
      <c r="G136">
        <v>75201</v>
      </c>
      <c r="H136">
        <v>159</v>
      </c>
      <c r="I136">
        <v>96</v>
      </c>
      <c r="J136" s="4">
        <f>MAX(Inventory[[#This Row],[Qty On Hand]]-Inventory[[#This Row],[Qty Allocated]],0)</f>
        <v>63</v>
      </c>
      <c r="K136">
        <v>319</v>
      </c>
      <c r="L136" t="s">
        <v>562</v>
      </c>
      <c r="M136" t="s">
        <v>563</v>
      </c>
      <c r="N136" t="s">
        <v>564</v>
      </c>
      <c r="O136" t="s">
        <v>26</v>
      </c>
      <c r="P136" t="s">
        <v>565</v>
      </c>
      <c r="Q136" t="s">
        <v>34</v>
      </c>
    </row>
    <row r="137" spans="1:17" x14ac:dyDescent="0.25">
      <c r="A137" t="s">
        <v>554</v>
      </c>
      <c r="B137" t="s">
        <v>18</v>
      </c>
      <c r="C137" t="s">
        <v>19</v>
      </c>
      <c r="D137" t="s">
        <v>434</v>
      </c>
      <c r="E137" t="s">
        <v>171</v>
      </c>
      <c r="F137" t="s">
        <v>35</v>
      </c>
      <c r="G137">
        <v>75201</v>
      </c>
      <c r="H137">
        <v>107</v>
      </c>
      <c r="I137">
        <v>22</v>
      </c>
      <c r="J137" s="4">
        <f>MAX(Inventory[[#This Row],[Qty On Hand]]-Inventory[[#This Row],[Qty Allocated]],0)</f>
        <v>85</v>
      </c>
      <c r="K137">
        <v>267</v>
      </c>
      <c r="L137" t="s">
        <v>566</v>
      </c>
      <c r="M137" t="s">
        <v>567</v>
      </c>
      <c r="N137" t="s">
        <v>568</v>
      </c>
      <c r="O137" t="s">
        <v>26</v>
      </c>
      <c r="P137" t="s">
        <v>27</v>
      </c>
      <c r="Q137" t="s">
        <v>34</v>
      </c>
    </row>
    <row r="138" spans="1:17" x14ac:dyDescent="0.25">
      <c r="A138" t="s">
        <v>554</v>
      </c>
      <c r="B138" t="s">
        <v>18</v>
      </c>
      <c r="C138" t="s">
        <v>19</v>
      </c>
      <c r="D138" t="s">
        <v>434</v>
      </c>
      <c r="E138" t="s">
        <v>171</v>
      </c>
      <c r="F138" t="s">
        <v>62</v>
      </c>
      <c r="G138">
        <v>63101</v>
      </c>
      <c r="H138">
        <v>107</v>
      </c>
      <c r="I138">
        <v>26</v>
      </c>
      <c r="J138" s="4">
        <f>MAX(Inventory[[#This Row],[Qty On Hand]]-Inventory[[#This Row],[Qty Allocated]],0)</f>
        <v>81</v>
      </c>
      <c r="K138">
        <v>290</v>
      </c>
      <c r="L138" t="s">
        <v>569</v>
      </c>
      <c r="M138" t="s">
        <v>570</v>
      </c>
      <c r="N138" t="s">
        <v>571</v>
      </c>
      <c r="O138" t="s">
        <v>48</v>
      </c>
      <c r="P138" t="s">
        <v>572</v>
      </c>
      <c r="Q138" t="s">
        <v>34</v>
      </c>
    </row>
    <row r="139" spans="1:17" x14ac:dyDescent="0.25">
      <c r="A139" t="s">
        <v>554</v>
      </c>
      <c r="B139" t="s">
        <v>18</v>
      </c>
      <c r="C139" t="s">
        <v>19</v>
      </c>
      <c r="D139" t="s">
        <v>434</v>
      </c>
      <c r="E139" t="s">
        <v>171</v>
      </c>
      <c r="F139" t="s">
        <v>62</v>
      </c>
      <c r="G139">
        <v>63101</v>
      </c>
      <c r="H139">
        <v>110</v>
      </c>
      <c r="I139">
        <v>92</v>
      </c>
      <c r="J139" s="4">
        <f>MAX(Inventory[[#This Row],[Qty On Hand]]-Inventory[[#This Row],[Qty Allocated]],0)</f>
        <v>18</v>
      </c>
      <c r="K139">
        <v>341</v>
      </c>
      <c r="L139" t="s">
        <v>573</v>
      </c>
      <c r="M139" t="s">
        <v>574</v>
      </c>
      <c r="N139" t="s">
        <v>575</v>
      </c>
      <c r="O139" t="s">
        <v>26</v>
      </c>
      <c r="P139" t="s">
        <v>576</v>
      </c>
      <c r="Q139" t="s">
        <v>92</v>
      </c>
    </row>
    <row r="140" spans="1:17" x14ac:dyDescent="0.25">
      <c r="A140" t="s">
        <v>554</v>
      </c>
      <c r="B140" t="s">
        <v>18</v>
      </c>
      <c r="C140" t="s">
        <v>19</v>
      </c>
      <c r="D140" t="s">
        <v>434</v>
      </c>
      <c r="E140" t="s">
        <v>171</v>
      </c>
      <c r="F140" t="s">
        <v>62</v>
      </c>
      <c r="G140">
        <v>63101</v>
      </c>
      <c r="H140">
        <v>123</v>
      </c>
      <c r="I140">
        <v>69</v>
      </c>
      <c r="J140" s="4">
        <f>MAX(Inventory[[#This Row],[Qty On Hand]]-Inventory[[#This Row],[Qty Allocated]],0)</f>
        <v>54</v>
      </c>
      <c r="K140">
        <v>167</v>
      </c>
      <c r="L140" t="s">
        <v>577</v>
      </c>
      <c r="M140" t="s">
        <v>578</v>
      </c>
      <c r="N140" t="s">
        <v>579</v>
      </c>
      <c r="O140" t="s">
        <v>48</v>
      </c>
      <c r="P140" t="s">
        <v>580</v>
      </c>
      <c r="Q140" t="s">
        <v>40</v>
      </c>
    </row>
    <row r="141" spans="1:17" x14ac:dyDescent="0.25">
      <c r="A141" t="s">
        <v>554</v>
      </c>
      <c r="B141" t="s">
        <v>18</v>
      </c>
      <c r="C141" t="s">
        <v>19</v>
      </c>
      <c r="D141" t="s">
        <v>434</v>
      </c>
      <c r="E141" t="s">
        <v>171</v>
      </c>
      <c r="F141" t="s">
        <v>83</v>
      </c>
      <c r="G141">
        <v>28202</v>
      </c>
      <c r="H141">
        <v>82</v>
      </c>
      <c r="I141">
        <v>63</v>
      </c>
      <c r="J141" s="4">
        <f>MAX(Inventory[[#This Row],[Qty On Hand]]-Inventory[[#This Row],[Qty Allocated]],0)</f>
        <v>19</v>
      </c>
      <c r="K141">
        <v>178</v>
      </c>
      <c r="L141" t="s">
        <v>581</v>
      </c>
      <c r="M141" t="s">
        <v>582</v>
      </c>
      <c r="N141" t="s">
        <v>489</v>
      </c>
      <c r="O141" t="s">
        <v>26</v>
      </c>
      <c r="P141" t="s">
        <v>583</v>
      </c>
      <c r="Q141" t="s">
        <v>28</v>
      </c>
    </row>
    <row r="142" spans="1:17" x14ac:dyDescent="0.25">
      <c r="A142" t="s">
        <v>554</v>
      </c>
      <c r="B142" t="s">
        <v>18</v>
      </c>
      <c r="C142" t="s">
        <v>19</v>
      </c>
      <c r="D142" t="s">
        <v>434</v>
      </c>
      <c r="E142" t="s">
        <v>171</v>
      </c>
      <c r="F142" t="s">
        <v>83</v>
      </c>
      <c r="G142">
        <v>28202</v>
      </c>
      <c r="H142">
        <v>101</v>
      </c>
      <c r="I142">
        <v>40</v>
      </c>
      <c r="J142" s="4">
        <f>MAX(Inventory[[#This Row],[Qty On Hand]]-Inventory[[#This Row],[Qty Allocated]],0)</f>
        <v>61</v>
      </c>
      <c r="K142">
        <v>112</v>
      </c>
      <c r="L142" t="s">
        <v>584</v>
      </c>
      <c r="M142" t="s">
        <v>585</v>
      </c>
      <c r="N142" t="s">
        <v>586</v>
      </c>
      <c r="O142" t="s">
        <v>48</v>
      </c>
      <c r="P142" t="s">
        <v>587</v>
      </c>
      <c r="Q142" t="s">
        <v>92</v>
      </c>
    </row>
    <row r="143" spans="1:17" x14ac:dyDescent="0.25">
      <c r="A143" t="s">
        <v>554</v>
      </c>
      <c r="B143" t="s">
        <v>18</v>
      </c>
      <c r="C143" t="s">
        <v>19</v>
      </c>
      <c r="D143" t="s">
        <v>434</v>
      </c>
      <c r="E143" t="s">
        <v>171</v>
      </c>
      <c r="F143" t="s">
        <v>83</v>
      </c>
      <c r="G143">
        <v>28202</v>
      </c>
      <c r="H143">
        <v>85</v>
      </c>
      <c r="I143">
        <v>22</v>
      </c>
      <c r="J143" s="4">
        <f>MAX(Inventory[[#This Row],[Qty On Hand]]-Inventory[[#This Row],[Qty Allocated]],0)</f>
        <v>63</v>
      </c>
      <c r="K143">
        <v>231</v>
      </c>
      <c r="L143" t="s">
        <v>588</v>
      </c>
      <c r="M143" t="s">
        <v>589</v>
      </c>
      <c r="N143" t="s">
        <v>590</v>
      </c>
      <c r="O143" t="s">
        <v>48</v>
      </c>
      <c r="P143" t="s">
        <v>591</v>
      </c>
      <c r="Q143" t="s">
        <v>34</v>
      </c>
    </row>
    <row r="144" spans="1:17" x14ac:dyDescent="0.25">
      <c r="A144" t="s">
        <v>554</v>
      </c>
      <c r="B144" t="s">
        <v>18</v>
      </c>
      <c r="C144" t="s">
        <v>19</v>
      </c>
      <c r="D144" t="s">
        <v>434</v>
      </c>
      <c r="E144" t="s">
        <v>171</v>
      </c>
      <c r="F144" t="s">
        <v>83</v>
      </c>
      <c r="G144">
        <v>28202</v>
      </c>
      <c r="H144">
        <v>66</v>
      </c>
      <c r="I144">
        <v>74</v>
      </c>
      <c r="J144" s="4">
        <f>MAX(Inventory[[#This Row],[Qty On Hand]]-Inventory[[#This Row],[Qty Allocated]],0)</f>
        <v>0</v>
      </c>
      <c r="K144">
        <v>206</v>
      </c>
      <c r="L144" t="s">
        <v>592</v>
      </c>
      <c r="M144" t="s">
        <v>593</v>
      </c>
      <c r="N144" t="s">
        <v>594</v>
      </c>
      <c r="O144" t="s">
        <v>26</v>
      </c>
      <c r="P144" t="s">
        <v>595</v>
      </c>
      <c r="Q144" t="s">
        <v>34</v>
      </c>
    </row>
    <row r="145" spans="1:17" x14ac:dyDescent="0.25">
      <c r="A145" t="s">
        <v>554</v>
      </c>
      <c r="B145" t="s">
        <v>18</v>
      </c>
      <c r="C145" t="s">
        <v>19</v>
      </c>
      <c r="D145" t="s">
        <v>434</v>
      </c>
      <c r="E145" t="s">
        <v>171</v>
      </c>
      <c r="F145" t="s">
        <v>83</v>
      </c>
      <c r="G145">
        <v>28202</v>
      </c>
      <c r="H145">
        <v>86</v>
      </c>
      <c r="I145">
        <v>7</v>
      </c>
      <c r="J145" s="4">
        <f>MAX(Inventory[[#This Row],[Qty On Hand]]-Inventory[[#This Row],[Qty Allocated]],0)</f>
        <v>79</v>
      </c>
      <c r="K145">
        <v>338</v>
      </c>
      <c r="L145" t="s">
        <v>596</v>
      </c>
      <c r="M145" t="s">
        <v>597</v>
      </c>
      <c r="N145" t="s">
        <v>598</v>
      </c>
      <c r="O145" t="s">
        <v>26</v>
      </c>
      <c r="P145" t="s">
        <v>599</v>
      </c>
      <c r="Q145" t="s">
        <v>28</v>
      </c>
    </row>
    <row r="146" spans="1:17" x14ac:dyDescent="0.25">
      <c r="A146" t="s">
        <v>600</v>
      </c>
      <c r="B146" t="s">
        <v>18</v>
      </c>
      <c r="C146" t="s">
        <v>19</v>
      </c>
      <c r="D146" t="s">
        <v>601</v>
      </c>
      <c r="E146" t="s">
        <v>21</v>
      </c>
      <c r="F146" t="s">
        <v>22</v>
      </c>
      <c r="G146">
        <v>94102</v>
      </c>
      <c r="H146">
        <v>6</v>
      </c>
      <c r="I146">
        <v>2</v>
      </c>
      <c r="J146" s="4">
        <f>MAX(Inventory[[#This Row],[Qty On Hand]]-Inventory[[#This Row],[Qty Allocated]],0)</f>
        <v>4</v>
      </c>
      <c r="K146">
        <v>332</v>
      </c>
      <c r="L146" t="s">
        <v>602</v>
      </c>
      <c r="M146" t="s">
        <v>603</v>
      </c>
      <c r="N146" t="s">
        <v>604</v>
      </c>
      <c r="O146" t="s">
        <v>26</v>
      </c>
      <c r="P146" t="s">
        <v>605</v>
      </c>
      <c r="Q146" t="s">
        <v>34</v>
      </c>
    </row>
    <row r="147" spans="1:17" x14ac:dyDescent="0.25">
      <c r="A147" t="s">
        <v>600</v>
      </c>
      <c r="B147" t="s">
        <v>18</v>
      </c>
      <c r="C147" t="s">
        <v>19</v>
      </c>
      <c r="D147" t="s">
        <v>601</v>
      </c>
      <c r="E147" t="s">
        <v>21</v>
      </c>
      <c r="F147" t="s">
        <v>29</v>
      </c>
      <c r="G147">
        <v>98072</v>
      </c>
      <c r="H147">
        <v>2140</v>
      </c>
      <c r="I147">
        <v>13</v>
      </c>
      <c r="J147" s="4">
        <f>MAX(Inventory[[#This Row],[Qty On Hand]]-Inventory[[#This Row],[Qty Allocated]],0)</f>
        <v>2127</v>
      </c>
      <c r="K147">
        <v>259</v>
      </c>
      <c r="L147" t="s">
        <v>606</v>
      </c>
      <c r="M147" t="s">
        <v>607</v>
      </c>
      <c r="N147" t="s">
        <v>608</v>
      </c>
      <c r="O147" t="s">
        <v>26</v>
      </c>
      <c r="P147" t="s">
        <v>609</v>
      </c>
      <c r="Q147" t="s">
        <v>92</v>
      </c>
    </row>
    <row r="148" spans="1:17" x14ac:dyDescent="0.25">
      <c r="A148" t="s">
        <v>600</v>
      </c>
      <c r="B148" t="s">
        <v>18</v>
      </c>
      <c r="C148" t="s">
        <v>19</v>
      </c>
      <c r="D148" t="s">
        <v>601</v>
      </c>
      <c r="E148" t="s">
        <v>21</v>
      </c>
      <c r="F148" t="s">
        <v>35</v>
      </c>
      <c r="G148">
        <v>75201</v>
      </c>
      <c r="H148">
        <v>126</v>
      </c>
      <c r="I148">
        <v>71</v>
      </c>
      <c r="J148" s="4">
        <f>MAX(Inventory[[#This Row],[Qty On Hand]]-Inventory[[#This Row],[Qty Allocated]],0)</f>
        <v>55</v>
      </c>
      <c r="K148">
        <v>273</v>
      </c>
      <c r="L148" t="s">
        <v>610</v>
      </c>
      <c r="M148" t="s">
        <v>611</v>
      </c>
      <c r="N148" t="s">
        <v>612</v>
      </c>
      <c r="O148" t="s">
        <v>26</v>
      </c>
      <c r="P148" t="s">
        <v>613</v>
      </c>
      <c r="Q148" t="s">
        <v>28</v>
      </c>
    </row>
    <row r="149" spans="1:17" x14ac:dyDescent="0.25">
      <c r="A149" t="s">
        <v>600</v>
      </c>
      <c r="B149" t="s">
        <v>18</v>
      </c>
      <c r="C149" t="s">
        <v>19</v>
      </c>
      <c r="D149" t="s">
        <v>601</v>
      </c>
      <c r="E149" t="s">
        <v>21</v>
      </c>
      <c r="F149" t="s">
        <v>35</v>
      </c>
      <c r="G149">
        <v>75201</v>
      </c>
      <c r="H149">
        <v>157</v>
      </c>
      <c r="I149">
        <v>36</v>
      </c>
      <c r="J149" s="4">
        <f>MAX(Inventory[[#This Row],[Qty On Hand]]-Inventory[[#This Row],[Qty Allocated]],0)</f>
        <v>121</v>
      </c>
      <c r="K149">
        <v>102</v>
      </c>
      <c r="L149" t="s">
        <v>614</v>
      </c>
      <c r="M149" t="s">
        <v>615</v>
      </c>
      <c r="N149" t="s">
        <v>616</v>
      </c>
      <c r="O149" t="s">
        <v>26</v>
      </c>
      <c r="P149" t="s">
        <v>617</v>
      </c>
      <c r="Q149" t="s">
        <v>40</v>
      </c>
    </row>
    <row r="150" spans="1:17" x14ac:dyDescent="0.25">
      <c r="A150" t="s">
        <v>600</v>
      </c>
      <c r="B150" t="s">
        <v>18</v>
      </c>
      <c r="C150" t="s">
        <v>19</v>
      </c>
      <c r="D150" t="s">
        <v>601</v>
      </c>
      <c r="E150" t="s">
        <v>21</v>
      </c>
      <c r="F150" t="s">
        <v>35</v>
      </c>
      <c r="G150">
        <v>75201</v>
      </c>
      <c r="H150">
        <v>109</v>
      </c>
      <c r="I150">
        <v>58</v>
      </c>
      <c r="J150" s="4">
        <f>MAX(Inventory[[#This Row],[Qty On Hand]]-Inventory[[#This Row],[Qty Allocated]],0)</f>
        <v>51</v>
      </c>
      <c r="K150">
        <v>224</v>
      </c>
      <c r="L150" t="s">
        <v>618</v>
      </c>
      <c r="M150" t="s">
        <v>619</v>
      </c>
      <c r="N150" t="s">
        <v>620</v>
      </c>
      <c r="O150" t="s">
        <v>48</v>
      </c>
      <c r="P150" t="s">
        <v>621</v>
      </c>
      <c r="Q150" t="s">
        <v>40</v>
      </c>
    </row>
    <row r="151" spans="1:17" x14ac:dyDescent="0.25">
      <c r="A151" t="s">
        <v>600</v>
      </c>
      <c r="B151" t="s">
        <v>18</v>
      </c>
      <c r="C151" t="s">
        <v>19</v>
      </c>
      <c r="D151" t="s">
        <v>601</v>
      </c>
      <c r="E151" t="s">
        <v>21</v>
      </c>
      <c r="F151" t="s">
        <v>62</v>
      </c>
      <c r="G151">
        <v>63101</v>
      </c>
      <c r="H151">
        <v>126</v>
      </c>
      <c r="I151">
        <v>2</v>
      </c>
      <c r="J151" s="4">
        <f>MAX(Inventory[[#This Row],[Qty On Hand]]-Inventory[[#This Row],[Qty Allocated]],0)</f>
        <v>124</v>
      </c>
      <c r="K151">
        <v>335</v>
      </c>
      <c r="L151" t="s">
        <v>622</v>
      </c>
      <c r="M151" t="s">
        <v>623</v>
      </c>
      <c r="N151" t="s">
        <v>377</v>
      </c>
      <c r="O151" t="s">
        <v>26</v>
      </c>
      <c r="P151" t="s">
        <v>624</v>
      </c>
      <c r="Q151" t="s">
        <v>28</v>
      </c>
    </row>
    <row r="152" spans="1:17" x14ac:dyDescent="0.25">
      <c r="A152" t="s">
        <v>600</v>
      </c>
      <c r="B152" t="s">
        <v>18</v>
      </c>
      <c r="C152" t="s">
        <v>19</v>
      </c>
      <c r="D152" t="s">
        <v>601</v>
      </c>
      <c r="E152" t="s">
        <v>21</v>
      </c>
      <c r="F152" t="s">
        <v>62</v>
      </c>
      <c r="G152">
        <v>63101</v>
      </c>
      <c r="H152">
        <v>89</v>
      </c>
      <c r="I152">
        <v>37</v>
      </c>
      <c r="J152" s="4">
        <f>MAX(Inventory[[#This Row],[Qty On Hand]]-Inventory[[#This Row],[Qty Allocated]],0)</f>
        <v>52</v>
      </c>
      <c r="K152">
        <v>335</v>
      </c>
      <c r="L152" t="s">
        <v>625</v>
      </c>
      <c r="M152" t="s">
        <v>626</v>
      </c>
      <c r="N152" t="s">
        <v>627</v>
      </c>
      <c r="O152" t="s">
        <v>48</v>
      </c>
      <c r="P152" t="s">
        <v>628</v>
      </c>
      <c r="Q152" t="s">
        <v>34</v>
      </c>
    </row>
    <row r="153" spans="1:17" x14ac:dyDescent="0.25">
      <c r="A153" t="s">
        <v>600</v>
      </c>
      <c r="B153" t="s">
        <v>18</v>
      </c>
      <c r="C153" t="s">
        <v>19</v>
      </c>
      <c r="D153" t="s">
        <v>601</v>
      </c>
      <c r="E153" t="s">
        <v>21</v>
      </c>
      <c r="F153" t="s">
        <v>62</v>
      </c>
      <c r="G153">
        <v>63101</v>
      </c>
      <c r="H153">
        <v>149</v>
      </c>
      <c r="I153">
        <v>47</v>
      </c>
      <c r="J153" s="4">
        <f>MAX(Inventory[[#This Row],[Qty On Hand]]-Inventory[[#This Row],[Qty Allocated]],0)</f>
        <v>102</v>
      </c>
      <c r="K153">
        <v>291</v>
      </c>
      <c r="L153" t="s">
        <v>629</v>
      </c>
      <c r="M153" t="s">
        <v>630</v>
      </c>
      <c r="N153" t="s">
        <v>631</v>
      </c>
      <c r="O153" t="s">
        <v>48</v>
      </c>
      <c r="P153" t="s">
        <v>632</v>
      </c>
      <c r="Q153" t="s">
        <v>40</v>
      </c>
    </row>
    <row r="154" spans="1:17" x14ac:dyDescent="0.25">
      <c r="A154" t="s">
        <v>600</v>
      </c>
      <c r="B154" t="s">
        <v>18</v>
      </c>
      <c r="C154" t="s">
        <v>19</v>
      </c>
      <c r="D154" t="s">
        <v>601</v>
      </c>
      <c r="E154" t="s">
        <v>21</v>
      </c>
      <c r="F154" t="s">
        <v>62</v>
      </c>
      <c r="G154">
        <v>63101</v>
      </c>
      <c r="H154">
        <v>119</v>
      </c>
      <c r="I154">
        <v>99</v>
      </c>
      <c r="J154" s="4">
        <f>MAX(Inventory[[#This Row],[Qty On Hand]]-Inventory[[#This Row],[Qty Allocated]],0)</f>
        <v>20</v>
      </c>
      <c r="K154">
        <v>381</v>
      </c>
      <c r="L154" t="s">
        <v>93</v>
      </c>
      <c r="M154" t="s">
        <v>633</v>
      </c>
      <c r="N154" t="s">
        <v>634</v>
      </c>
      <c r="O154" t="s">
        <v>26</v>
      </c>
      <c r="P154" t="s">
        <v>635</v>
      </c>
      <c r="Q154" t="s">
        <v>92</v>
      </c>
    </row>
    <row r="155" spans="1:17" x14ac:dyDescent="0.25">
      <c r="A155" t="s">
        <v>600</v>
      </c>
      <c r="B155" t="s">
        <v>18</v>
      </c>
      <c r="C155" t="s">
        <v>19</v>
      </c>
      <c r="D155" t="s">
        <v>601</v>
      </c>
      <c r="E155" t="s">
        <v>21</v>
      </c>
      <c r="F155" t="s">
        <v>62</v>
      </c>
      <c r="G155">
        <v>63101</v>
      </c>
      <c r="H155">
        <v>148</v>
      </c>
      <c r="I155">
        <v>42</v>
      </c>
      <c r="J155" s="4">
        <f>MAX(Inventory[[#This Row],[Qty On Hand]]-Inventory[[#This Row],[Qty Allocated]],0)</f>
        <v>106</v>
      </c>
      <c r="K155">
        <v>180</v>
      </c>
      <c r="L155" t="s">
        <v>636</v>
      </c>
      <c r="M155" t="s">
        <v>637</v>
      </c>
      <c r="N155" t="s">
        <v>638</v>
      </c>
      <c r="O155" t="s">
        <v>26</v>
      </c>
      <c r="P155" t="s">
        <v>639</v>
      </c>
      <c r="Q155" t="s">
        <v>28</v>
      </c>
    </row>
    <row r="156" spans="1:17" x14ac:dyDescent="0.25">
      <c r="A156" t="s">
        <v>600</v>
      </c>
      <c r="B156" t="s">
        <v>18</v>
      </c>
      <c r="C156" t="s">
        <v>19</v>
      </c>
      <c r="D156" t="s">
        <v>601</v>
      </c>
      <c r="E156" t="s">
        <v>21</v>
      </c>
      <c r="F156" t="s">
        <v>62</v>
      </c>
      <c r="G156">
        <v>63101</v>
      </c>
      <c r="H156">
        <v>142</v>
      </c>
      <c r="I156">
        <v>19</v>
      </c>
      <c r="J156" s="4">
        <f>MAX(Inventory[[#This Row],[Qty On Hand]]-Inventory[[#This Row],[Qty Allocated]],0)</f>
        <v>123</v>
      </c>
      <c r="K156">
        <v>293</v>
      </c>
      <c r="L156" t="s">
        <v>640</v>
      </c>
      <c r="M156" t="s">
        <v>641</v>
      </c>
      <c r="N156" t="s">
        <v>642</v>
      </c>
      <c r="O156" t="s">
        <v>26</v>
      </c>
      <c r="P156" t="s">
        <v>643</v>
      </c>
      <c r="Q156" t="s">
        <v>28</v>
      </c>
    </row>
    <row r="157" spans="1:17" x14ac:dyDescent="0.25">
      <c r="A157" t="s">
        <v>600</v>
      </c>
      <c r="B157" t="s">
        <v>18</v>
      </c>
      <c r="C157" t="s">
        <v>19</v>
      </c>
      <c r="D157" t="s">
        <v>601</v>
      </c>
      <c r="E157" t="s">
        <v>21</v>
      </c>
      <c r="F157" t="s">
        <v>83</v>
      </c>
      <c r="G157">
        <v>28202</v>
      </c>
      <c r="H157">
        <v>106</v>
      </c>
      <c r="I157">
        <v>17</v>
      </c>
      <c r="J157" s="4">
        <f>MAX(Inventory[[#This Row],[Qty On Hand]]-Inventory[[#This Row],[Qty Allocated]],0)</f>
        <v>89</v>
      </c>
      <c r="K157">
        <v>282</v>
      </c>
      <c r="L157" t="s">
        <v>644</v>
      </c>
      <c r="M157" t="s">
        <v>645</v>
      </c>
      <c r="N157" t="s">
        <v>646</v>
      </c>
      <c r="O157" t="s">
        <v>26</v>
      </c>
      <c r="P157" t="s">
        <v>647</v>
      </c>
      <c r="Q157" t="s">
        <v>28</v>
      </c>
    </row>
    <row r="158" spans="1:17" x14ac:dyDescent="0.25">
      <c r="A158" t="s">
        <v>600</v>
      </c>
      <c r="B158" t="s">
        <v>18</v>
      </c>
      <c r="C158" t="s">
        <v>19</v>
      </c>
      <c r="D158" t="s">
        <v>601</v>
      </c>
      <c r="E158" t="s">
        <v>21</v>
      </c>
      <c r="F158" t="s">
        <v>83</v>
      </c>
      <c r="G158">
        <v>28202</v>
      </c>
      <c r="H158">
        <v>110</v>
      </c>
      <c r="I158">
        <v>80</v>
      </c>
      <c r="J158" s="4">
        <f>MAX(Inventory[[#This Row],[Qty On Hand]]-Inventory[[#This Row],[Qty Allocated]],0)</f>
        <v>30</v>
      </c>
      <c r="K158">
        <v>232</v>
      </c>
      <c r="L158" t="s">
        <v>648</v>
      </c>
      <c r="M158" t="s">
        <v>649</v>
      </c>
      <c r="N158" t="s">
        <v>650</v>
      </c>
      <c r="O158" t="s">
        <v>26</v>
      </c>
      <c r="P158" t="s">
        <v>651</v>
      </c>
      <c r="Q158" t="s">
        <v>28</v>
      </c>
    </row>
    <row r="159" spans="1:17" x14ac:dyDescent="0.25">
      <c r="A159" t="s">
        <v>600</v>
      </c>
      <c r="B159" t="s">
        <v>18</v>
      </c>
      <c r="C159" t="s">
        <v>19</v>
      </c>
      <c r="D159" t="s">
        <v>601</v>
      </c>
      <c r="E159" t="s">
        <v>21</v>
      </c>
      <c r="F159" t="s">
        <v>83</v>
      </c>
      <c r="G159">
        <v>28202</v>
      </c>
      <c r="H159">
        <v>131</v>
      </c>
      <c r="I159">
        <v>90</v>
      </c>
      <c r="J159" s="4">
        <f>MAX(Inventory[[#This Row],[Qty On Hand]]-Inventory[[#This Row],[Qty Allocated]],0)</f>
        <v>41</v>
      </c>
      <c r="K159">
        <v>250</v>
      </c>
      <c r="L159" t="s">
        <v>652</v>
      </c>
      <c r="M159" t="s">
        <v>653</v>
      </c>
      <c r="N159" t="s">
        <v>654</v>
      </c>
      <c r="O159" t="s">
        <v>48</v>
      </c>
      <c r="P159" t="s">
        <v>655</v>
      </c>
      <c r="Q159" t="s">
        <v>92</v>
      </c>
    </row>
    <row r="160" spans="1:17" x14ac:dyDescent="0.25">
      <c r="A160" t="s">
        <v>600</v>
      </c>
      <c r="B160" t="s">
        <v>18</v>
      </c>
      <c r="C160" t="s">
        <v>19</v>
      </c>
      <c r="D160" t="s">
        <v>601</v>
      </c>
      <c r="E160" t="s">
        <v>21</v>
      </c>
      <c r="F160" t="s">
        <v>83</v>
      </c>
      <c r="G160">
        <v>28202</v>
      </c>
      <c r="H160">
        <v>183</v>
      </c>
      <c r="I160">
        <v>73</v>
      </c>
      <c r="J160" s="4">
        <f>MAX(Inventory[[#This Row],[Qty On Hand]]-Inventory[[#This Row],[Qty Allocated]],0)</f>
        <v>110</v>
      </c>
      <c r="K160">
        <v>271</v>
      </c>
      <c r="L160" t="s">
        <v>656</v>
      </c>
      <c r="M160" t="s">
        <v>657</v>
      </c>
      <c r="N160" t="s">
        <v>658</v>
      </c>
      <c r="O160" t="s">
        <v>48</v>
      </c>
      <c r="P160" t="s">
        <v>659</v>
      </c>
      <c r="Q160" t="s">
        <v>40</v>
      </c>
    </row>
    <row r="161" spans="1:17" x14ac:dyDescent="0.25">
      <c r="A161" t="s">
        <v>600</v>
      </c>
      <c r="B161" t="s">
        <v>18</v>
      </c>
      <c r="C161" t="s">
        <v>19</v>
      </c>
      <c r="D161" t="s">
        <v>601</v>
      </c>
      <c r="E161" t="s">
        <v>21</v>
      </c>
      <c r="F161" t="s">
        <v>83</v>
      </c>
      <c r="G161">
        <v>28202</v>
      </c>
      <c r="H161">
        <v>126</v>
      </c>
      <c r="I161">
        <v>45</v>
      </c>
      <c r="J161" s="4">
        <f>MAX(Inventory[[#This Row],[Qty On Hand]]-Inventory[[#This Row],[Qty Allocated]],0)</f>
        <v>81</v>
      </c>
      <c r="K161">
        <v>186</v>
      </c>
      <c r="L161" t="s">
        <v>660</v>
      </c>
      <c r="M161" t="s">
        <v>661</v>
      </c>
      <c r="N161" t="s">
        <v>662</v>
      </c>
      <c r="O161" t="s">
        <v>26</v>
      </c>
      <c r="P161" t="s">
        <v>663</v>
      </c>
      <c r="Q161" t="s">
        <v>34</v>
      </c>
    </row>
    <row r="162" spans="1:17" x14ac:dyDescent="0.25">
      <c r="A162" t="s">
        <v>600</v>
      </c>
      <c r="B162" t="s">
        <v>18</v>
      </c>
      <c r="C162" t="s">
        <v>19</v>
      </c>
      <c r="D162" t="s">
        <v>601</v>
      </c>
      <c r="E162" t="s">
        <v>21</v>
      </c>
      <c r="F162" t="s">
        <v>62</v>
      </c>
      <c r="G162">
        <v>63101</v>
      </c>
      <c r="H162">
        <v>2040</v>
      </c>
      <c r="I162">
        <v>0</v>
      </c>
      <c r="J162" s="4">
        <f>MAX(Inventory[[#This Row],[Qty On Hand]]-Inventory[[#This Row],[Qty Allocated]],0)</f>
        <v>2040</v>
      </c>
      <c r="K162">
        <v>210</v>
      </c>
      <c r="L162" t="s">
        <v>664</v>
      </c>
      <c r="M162" t="s">
        <v>665</v>
      </c>
      <c r="N162" t="s">
        <v>343</v>
      </c>
      <c r="O162" t="s">
        <v>26</v>
      </c>
      <c r="P162" t="s">
        <v>666</v>
      </c>
      <c r="Q162" t="s">
        <v>40</v>
      </c>
    </row>
    <row r="163" spans="1:17" x14ac:dyDescent="0.25">
      <c r="A163" t="s">
        <v>600</v>
      </c>
      <c r="B163" t="s">
        <v>18</v>
      </c>
      <c r="C163" t="s">
        <v>19</v>
      </c>
      <c r="D163" t="s">
        <v>601</v>
      </c>
      <c r="E163" t="s">
        <v>21</v>
      </c>
      <c r="F163" t="s">
        <v>35</v>
      </c>
      <c r="G163">
        <v>75201</v>
      </c>
      <c r="H163">
        <v>870</v>
      </c>
      <c r="I163">
        <v>0</v>
      </c>
      <c r="J163" s="4">
        <f>MAX(Inventory[[#This Row],[Qty On Hand]]-Inventory[[#This Row],[Qty Allocated]],0)</f>
        <v>870</v>
      </c>
      <c r="K163">
        <v>170</v>
      </c>
      <c r="L163" t="s">
        <v>667</v>
      </c>
      <c r="M163" t="s">
        <v>668</v>
      </c>
      <c r="N163" t="s">
        <v>669</v>
      </c>
      <c r="O163" t="s">
        <v>26</v>
      </c>
      <c r="P163" t="s">
        <v>670</v>
      </c>
      <c r="Q163" t="s">
        <v>40</v>
      </c>
    </row>
    <row r="164" spans="1:17" x14ac:dyDescent="0.25">
      <c r="A164" t="s">
        <v>600</v>
      </c>
      <c r="B164" t="s">
        <v>18</v>
      </c>
      <c r="C164" t="s">
        <v>19</v>
      </c>
      <c r="D164" t="s">
        <v>601</v>
      </c>
      <c r="E164" t="s">
        <v>21</v>
      </c>
      <c r="F164" t="s">
        <v>29</v>
      </c>
      <c r="G164">
        <v>98072</v>
      </c>
      <c r="H164">
        <v>690</v>
      </c>
      <c r="I164">
        <v>0</v>
      </c>
      <c r="J164" s="4">
        <f>MAX(Inventory[[#This Row],[Qty On Hand]]-Inventory[[#This Row],[Qty Allocated]],0)</f>
        <v>690</v>
      </c>
      <c r="K164">
        <v>150</v>
      </c>
      <c r="L164" t="s">
        <v>671</v>
      </c>
      <c r="M164" t="s">
        <v>672</v>
      </c>
      <c r="N164" t="s">
        <v>673</v>
      </c>
      <c r="O164" t="s">
        <v>26</v>
      </c>
      <c r="P164" t="s">
        <v>674</v>
      </c>
      <c r="Q164" t="s">
        <v>40</v>
      </c>
    </row>
    <row r="165" spans="1:17" x14ac:dyDescent="0.25">
      <c r="A165" t="s">
        <v>675</v>
      </c>
      <c r="B165" t="s">
        <v>18</v>
      </c>
      <c r="C165" t="s">
        <v>19</v>
      </c>
      <c r="D165" t="s">
        <v>601</v>
      </c>
      <c r="E165" t="s">
        <v>122</v>
      </c>
      <c r="F165" t="s">
        <v>22</v>
      </c>
      <c r="G165">
        <v>94102</v>
      </c>
      <c r="H165">
        <v>4</v>
      </c>
      <c r="I165">
        <v>0</v>
      </c>
      <c r="J165" s="4">
        <f>MAX(Inventory[[#This Row],[Qty On Hand]]-Inventory[[#This Row],[Qty Allocated]],0)</f>
        <v>4</v>
      </c>
      <c r="K165">
        <v>223</v>
      </c>
      <c r="L165" t="s">
        <v>676</v>
      </c>
      <c r="M165" t="s">
        <v>677</v>
      </c>
      <c r="N165" t="s">
        <v>678</v>
      </c>
      <c r="O165" t="s">
        <v>26</v>
      </c>
      <c r="P165" t="s">
        <v>679</v>
      </c>
      <c r="Q165" t="s">
        <v>34</v>
      </c>
    </row>
    <row r="166" spans="1:17" x14ac:dyDescent="0.25">
      <c r="A166" t="s">
        <v>675</v>
      </c>
      <c r="B166" t="s">
        <v>18</v>
      </c>
      <c r="C166" t="s">
        <v>19</v>
      </c>
      <c r="D166" t="s">
        <v>601</v>
      </c>
      <c r="E166" t="s">
        <v>122</v>
      </c>
      <c r="F166" t="s">
        <v>35</v>
      </c>
      <c r="G166">
        <v>75201</v>
      </c>
      <c r="H166">
        <v>156</v>
      </c>
      <c r="I166">
        <v>42</v>
      </c>
      <c r="J166" s="4">
        <f>MAX(Inventory[[#This Row],[Qty On Hand]]-Inventory[[#This Row],[Qty Allocated]],0)</f>
        <v>114</v>
      </c>
      <c r="K166">
        <v>214</v>
      </c>
      <c r="L166" t="s">
        <v>680</v>
      </c>
      <c r="M166" t="s">
        <v>681</v>
      </c>
      <c r="N166" t="s">
        <v>682</v>
      </c>
      <c r="O166" t="s">
        <v>26</v>
      </c>
      <c r="P166" t="s">
        <v>683</v>
      </c>
      <c r="Q166" t="s">
        <v>28</v>
      </c>
    </row>
    <row r="167" spans="1:17" x14ac:dyDescent="0.25">
      <c r="A167" t="s">
        <v>675</v>
      </c>
      <c r="B167" t="s">
        <v>18</v>
      </c>
      <c r="C167" t="s">
        <v>19</v>
      </c>
      <c r="D167" t="s">
        <v>601</v>
      </c>
      <c r="E167" t="s">
        <v>122</v>
      </c>
      <c r="F167" t="s">
        <v>35</v>
      </c>
      <c r="G167">
        <v>75201</v>
      </c>
      <c r="H167">
        <v>117</v>
      </c>
      <c r="I167">
        <v>78</v>
      </c>
      <c r="J167" s="4">
        <f>MAX(Inventory[[#This Row],[Qty On Hand]]-Inventory[[#This Row],[Qty Allocated]],0)</f>
        <v>39</v>
      </c>
      <c r="K167">
        <v>302</v>
      </c>
      <c r="L167" t="s">
        <v>684</v>
      </c>
      <c r="M167" t="s">
        <v>685</v>
      </c>
      <c r="N167" t="s">
        <v>686</v>
      </c>
      <c r="O167" t="s">
        <v>26</v>
      </c>
      <c r="P167" t="s">
        <v>687</v>
      </c>
      <c r="Q167" t="s">
        <v>28</v>
      </c>
    </row>
    <row r="168" spans="1:17" x14ac:dyDescent="0.25">
      <c r="A168" t="s">
        <v>675</v>
      </c>
      <c r="B168" t="s">
        <v>18</v>
      </c>
      <c r="C168" t="s">
        <v>19</v>
      </c>
      <c r="D168" t="s">
        <v>601</v>
      </c>
      <c r="E168" t="s">
        <v>122</v>
      </c>
      <c r="F168" t="s">
        <v>35</v>
      </c>
      <c r="G168">
        <v>75201</v>
      </c>
      <c r="H168">
        <v>156</v>
      </c>
      <c r="I168">
        <v>60</v>
      </c>
      <c r="J168" s="4">
        <f>MAX(Inventory[[#This Row],[Qty On Hand]]-Inventory[[#This Row],[Qty Allocated]],0)</f>
        <v>96</v>
      </c>
      <c r="K168">
        <v>210</v>
      </c>
      <c r="L168" t="s">
        <v>688</v>
      </c>
      <c r="M168" t="s">
        <v>689</v>
      </c>
      <c r="N168" t="s">
        <v>690</v>
      </c>
      <c r="O168" t="s">
        <v>48</v>
      </c>
      <c r="P168" t="s">
        <v>475</v>
      </c>
      <c r="Q168" t="s">
        <v>92</v>
      </c>
    </row>
    <row r="169" spans="1:17" x14ac:dyDescent="0.25">
      <c r="A169" t="s">
        <v>675</v>
      </c>
      <c r="B169" t="s">
        <v>18</v>
      </c>
      <c r="C169" t="s">
        <v>19</v>
      </c>
      <c r="D169" t="s">
        <v>601</v>
      </c>
      <c r="E169" t="s">
        <v>122</v>
      </c>
      <c r="F169" t="s">
        <v>35</v>
      </c>
      <c r="G169">
        <v>75201</v>
      </c>
      <c r="H169">
        <v>105</v>
      </c>
      <c r="I169">
        <v>61</v>
      </c>
      <c r="J169" s="4">
        <f>MAX(Inventory[[#This Row],[Qty On Hand]]-Inventory[[#This Row],[Qty Allocated]],0)</f>
        <v>44</v>
      </c>
      <c r="K169">
        <v>127</v>
      </c>
      <c r="L169" t="s">
        <v>691</v>
      </c>
      <c r="M169" t="s">
        <v>692</v>
      </c>
      <c r="N169" t="s">
        <v>264</v>
      </c>
      <c r="O169" t="s">
        <v>26</v>
      </c>
      <c r="P169" t="s">
        <v>398</v>
      </c>
      <c r="Q169" t="s">
        <v>34</v>
      </c>
    </row>
    <row r="170" spans="1:17" x14ac:dyDescent="0.25">
      <c r="A170" t="s">
        <v>675</v>
      </c>
      <c r="B170" t="s">
        <v>18</v>
      </c>
      <c r="C170" t="s">
        <v>19</v>
      </c>
      <c r="D170" t="s">
        <v>601</v>
      </c>
      <c r="E170" t="s">
        <v>122</v>
      </c>
      <c r="F170" t="s">
        <v>35</v>
      </c>
      <c r="G170">
        <v>75201</v>
      </c>
      <c r="H170">
        <v>118</v>
      </c>
      <c r="I170">
        <v>30</v>
      </c>
      <c r="J170" s="4">
        <f>MAX(Inventory[[#This Row],[Qty On Hand]]-Inventory[[#This Row],[Qty Allocated]],0)</f>
        <v>88</v>
      </c>
      <c r="K170">
        <v>385</v>
      </c>
      <c r="L170" t="s">
        <v>693</v>
      </c>
      <c r="M170" t="s">
        <v>694</v>
      </c>
      <c r="N170" t="s">
        <v>612</v>
      </c>
      <c r="O170" t="s">
        <v>48</v>
      </c>
      <c r="P170" t="s">
        <v>535</v>
      </c>
      <c r="Q170" t="s">
        <v>92</v>
      </c>
    </row>
    <row r="171" spans="1:17" x14ac:dyDescent="0.25">
      <c r="A171" t="s">
        <v>675</v>
      </c>
      <c r="B171" t="s">
        <v>18</v>
      </c>
      <c r="C171" t="s">
        <v>19</v>
      </c>
      <c r="D171" t="s">
        <v>601</v>
      </c>
      <c r="E171" t="s">
        <v>122</v>
      </c>
      <c r="F171" t="s">
        <v>35</v>
      </c>
      <c r="G171">
        <v>75201</v>
      </c>
      <c r="H171">
        <v>93</v>
      </c>
      <c r="I171">
        <v>3</v>
      </c>
      <c r="J171" s="4">
        <f>MAX(Inventory[[#This Row],[Qty On Hand]]-Inventory[[#This Row],[Qty Allocated]],0)</f>
        <v>90</v>
      </c>
      <c r="K171">
        <v>223</v>
      </c>
      <c r="L171" t="s">
        <v>695</v>
      </c>
      <c r="M171" t="s">
        <v>696</v>
      </c>
      <c r="N171" t="s">
        <v>697</v>
      </c>
      <c r="O171" t="s">
        <v>26</v>
      </c>
      <c r="P171" t="s">
        <v>539</v>
      </c>
      <c r="Q171" t="s">
        <v>34</v>
      </c>
    </row>
    <row r="172" spans="1:17" x14ac:dyDescent="0.25">
      <c r="A172" t="s">
        <v>675</v>
      </c>
      <c r="B172" t="s">
        <v>18</v>
      </c>
      <c r="C172" t="s">
        <v>19</v>
      </c>
      <c r="D172" t="s">
        <v>601</v>
      </c>
      <c r="E172" t="s">
        <v>122</v>
      </c>
      <c r="F172" t="s">
        <v>62</v>
      </c>
      <c r="G172">
        <v>63101</v>
      </c>
      <c r="H172">
        <v>71</v>
      </c>
      <c r="I172">
        <v>68</v>
      </c>
      <c r="J172" s="4">
        <f>MAX(Inventory[[#This Row],[Qty On Hand]]-Inventory[[#This Row],[Qty Allocated]],0)</f>
        <v>3</v>
      </c>
      <c r="K172">
        <v>171</v>
      </c>
      <c r="L172" t="s">
        <v>698</v>
      </c>
      <c r="M172" t="s">
        <v>699</v>
      </c>
      <c r="N172" t="s">
        <v>700</v>
      </c>
      <c r="O172" t="s">
        <v>26</v>
      </c>
      <c r="P172" t="s">
        <v>613</v>
      </c>
      <c r="Q172" t="s">
        <v>28</v>
      </c>
    </row>
    <row r="173" spans="1:17" x14ac:dyDescent="0.25">
      <c r="A173" t="s">
        <v>675</v>
      </c>
      <c r="B173" t="s">
        <v>18</v>
      </c>
      <c r="C173" t="s">
        <v>19</v>
      </c>
      <c r="D173" t="s">
        <v>601</v>
      </c>
      <c r="E173" t="s">
        <v>122</v>
      </c>
      <c r="F173" t="s">
        <v>62</v>
      </c>
      <c r="G173">
        <v>63101</v>
      </c>
      <c r="H173">
        <v>144</v>
      </c>
      <c r="I173">
        <v>85</v>
      </c>
      <c r="J173" s="4">
        <f>MAX(Inventory[[#This Row],[Qty On Hand]]-Inventory[[#This Row],[Qty Allocated]],0)</f>
        <v>59</v>
      </c>
      <c r="K173">
        <v>184</v>
      </c>
      <c r="L173" t="s">
        <v>701</v>
      </c>
      <c r="M173" t="s">
        <v>702</v>
      </c>
      <c r="N173" t="s">
        <v>703</v>
      </c>
      <c r="O173" t="s">
        <v>48</v>
      </c>
      <c r="P173" t="s">
        <v>402</v>
      </c>
      <c r="Q173" t="s">
        <v>34</v>
      </c>
    </row>
    <row r="174" spans="1:17" x14ac:dyDescent="0.25">
      <c r="A174" t="s">
        <v>675</v>
      </c>
      <c r="B174" t="s">
        <v>18</v>
      </c>
      <c r="C174" t="s">
        <v>19</v>
      </c>
      <c r="D174" t="s">
        <v>601</v>
      </c>
      <c r="E174" t="s">
        <v>122</v>
      </c>
      <c r="F174" t="s">
        <v>62</v>
      </c>
      <c r="G174">
        <v>63101</v>
      </c>
      <c r="H174">
        <v>127</v>
      </c>
      <c r="I174">
        <v>71</v>
      </c>
      <c r="J174" s="4">
        <f>MAX(Inventory[[#This Row],[Qty On Hand]]-Inventory[[#This Row],[Qty Allocated]],0)</f>
        <v>56</v>
      </c>
      <c r="K174">
        <v>350</v>
      </c>
      <c r="L174" t="s">
        <v>704</v>
      </c>
      <c r="M174" t="s">
        <v>705</v>
      </c>
      <c r="N174" t="s">
        <v>706</v>
      </c>
      <c r="O174" t="s">
        <v>48</v>
      </c>
      <c r="P174" t="s">
        <v>707</v>
      </c>
      <c r="Q174" t="s">
        <v>92</v>
      </c>
    </row>
    <row r="175" spans="1:17" x14ac:dyDescent="0.25">
      <c r="A175" t="s">
        <v>675</v>
      </c>
      <c r="B175" t="s">
        <v>18</v>
      </c>
      <c r="C175" t="s">
        <v>19</v>
      </c>
      <c r="D175" t="s">
        <v>601</v>
      </c>
      <c r="E175" t="s">
        <v>122</v>
      </c>
      <c r="F175" t="s">
        <v>62</v>
      </c>
      <c r="G175">
        <v>63101</v>
      </c>
      <c r="H175">
        <v>79</v>
      </c>
      <c r="I175">
        <v>37</v>
      </c>
      <c r="J175" s="4">
        <f>MAX(Inventory[[#This Row],[Qty On Hand]]-Inventory[[#This Row],[Qty Allocated]],0)</f>
        <v>42</v>
      </c>
      <c r="K175">
        <v>147</v>
      </c>
      <c r="L175" t="s">
        <v>708</v>
      </c>
      <c r="M175" t="s">
        <v>709</v>
      </c>
      <c r="N175" t="s">
        <v>710</v>
      </c>
      <c r="O175" t="s">
        <v>48</v>
      </c>
      <c r="P175" t="s">
        <v>711</v>
      </c>
      <c r="Q175" t="s">
        <v>40</v>
      </c>
    </row>
    <row r="176" spans="1:17" x14ac:dyDescent="0.25">
      <c r="A176" t="s">
        <v>675</v>
      </c>
      <c r="B176" t="s">
        <v>18</v>
      </c>
      <c r="C176" t="s">
        <v>19</v>
      </c>
      <c r="D176" t="s">
        <v>601</v>
      </c>
      <c r="E176" t="s">
        <v>122</v>
      </c>
      <c r="F176" t="s">
        <v>62</v>
      </c>
      <c r="G176">
        <v>63101</v>
      </c>
      <c r="H176">
        <v>155</v>
      </c>
      <c r="I176">
        <v>98</v>
      </c>
      <c r="J176" s="4">
        <f>MAX(Inventory[[#This Row],[Qty On Hand]]-Inventory[[#This Row],[Qty Allocated]],0)</f>
        <v>57</v>
      </c>
      <c r="K176">
        <v>249</v>
      </c>
      <c r="L176" t="s">
        <v>712</v>
      </c>
      <c r="M176" t="s">
        <v>713</v>
      </c>
      <c r="N176" t="s">
        <v>714</v>
      </c>
      <c r="O176" t="s">
        <v>26</v>
      </c>
      <c r="P176" t="s">
        <v>715</v>
      </c>
      <c r="Q176" t="s">
        <v>28</v>
      </c>
    </row>
    <row r="177" spans="1:17" x14ac:dyDescent="0.25">
      <c r="A177" t="s">
        <v>675</v>
      </c>
      <c r="B177" t="s">
        <v>18</v>
      </c>
      <c r="C177" t="s">
        <v>19</v>
      </c>
      <c r="D177" t="s">
        <v>601</v>
      </c>
      <c r="E177" t="s">
        <v>122</v>
      </c>
      <c r="F177" t="s">
        <v>62</v>
      </c>
      <c r="G177">
        <v>63101</v>
      </c>
      <c r="H177">
        <v>139</v>
      </c>
      <c r="I177">
        <v>61</v>
      </c>
      <c r="J177" s="4">
        <f>MAX(Inventory[[#This Row],[Qty On Hand]]-Inventory[[#This Row],[Qty Allocated]],0)</f>
        <v>78</v>
      </c>
      <c r="K177">
        <v>110</v>
      </c>
      <c r="L177" t="s">
        <v>716</v>
      </c>
      <c r="M177" t="s">
        <v>717</v>
      </c>
      <c r="N177" t="s">
        <v>718</v>
      </c>
      <c r="O177" t="s">
        <v>26</v>
      </c>
      <c r="P177" t="s">
        <v>719</v>
      </c>
      <c r="Q177" t="s">
        <v>40</v>
      </c>
    </row>
    <row r="178" spans="1:17" x14ac:dyDescent="0.25">
      <c r="A178" t="s">
        <v>675</v>
      </c>
      <c r="B178" t="s">
        <v>18</v>
      </c>
      <c r="C178" t="s">
        <v>19</v>
      </c>
      <c r="D178" t="s">
        <v>601</v>
      </c>
      <c r="E178" t="s">
        <v>122</v>
      </c>
      <c r="F178" t="s">
        <v>83</v>
      </c>
      <c r="G178">
        <v>28202</v>
      </c>
      <c r="H178">
        <v>168</v>
      </c>
      <c r="I178">
        <v>2</v>
      </c>
      <c r="J178" s="4">
        <f>MAX(Inventory[[#This Row],[Qty On Hand]]-Inventory[[#This Row],[Qty Allocated]],0)</f>
        <v>166</v>
      </c>
      <c r="K178">
        <v>196</v>
      </c>
      <c r="L178" t="s">
        <v>720</v>
      </c>
      <c r="M178" t="s">
        <v>721</v>
      </c>
      <c r="N178" t="s">
        <v>658</v>
      </c>
      <c r="O178" t="s">
        <v>26</v>
      </c>
      <c r="P178" t="s">
        <v>722</v>
      </c>
      <c r="Q178" t="s">
        <v>92</v>
      </c>
    </row>
    <row r="179" spans="1:17" x14ac:dyDescent="0.25">
      <c r="A179" t="s">
        <v>675</v>
      </c>
      <c r="B179" t="s">
        <v>18</v>
      </c>
      <c r="C179" t="s">
        <v>19</v>
      </c>
      <c r="D179" t="s">
        <v>601</v>
      </c>
      <c r="E179" t="s">
        <v>122</v>
      </c>
      <c r="F179" t="s">
        <v>83</v>
      </c>
      <c r="G179">
        <v>28202</v>
      </c>
      <c r="H179">
        <v>139</v>
      </c>
      <c r="I179">
        <v>56</v>
      </c>
      <c r="J179" s="4">
        <f>MAX(Inventory[[#This Row],[Qty On Hand]]-Inventory[[#This Row],[Qty Allocated]],0)</f>
        <v>83</v>
      </c>
      <c r="K179">
        <v>179</v>
      </c>
      <c r="L179" t="s">
        <v>723</v>
      </c>
      <c r="M179" t="s">
        <v>724</v>
      </c>
      <c r="N179" t="s">
        <v>725</v>
      </c>
      <c r="O179" t="s">
        <v>26</v>
      </c>
      <c r="P179" t="s">
        <v>726</v>
      </c>
      <c r="Q179" t="s">
        <v>92</v>
      </c>
    </row>
    <row r="180" spans="1:17" x14ac:dyDescent="0.25">
      <c r="A180" t="s">
        <v>675</v>
      </c>
      <c r="B180" t="s">
        <v>18</v>
      </c>
      <c r="C180" t="s">
        <v>19</v>
      </c>
      <c r="D180" t="s">
        <v>601</v>
      </c>
      <c r="E180" t="s">
        <v>122</v>
      </c>
      <c r="F180" t="s">
        <v>83</v>
      </c>
      <c r="G180">
        <v>28202</v>
      </c>
      <c r="H180">
        <v>135</v>
      </c>
      <c r="I180">
        <v>3</v>
      </c>
      <c r="J180" s="4">
        <f>MAX(Inventory[[#This Row],[Qty On Hand]]-Inventory[[#This Row],[Qty Allocated]],0)</f>
        <v>132</v>
      </c>
      <c r="K180">
        <v>247</v>
      </c>
      <c r="L180" t="s">
        <v>727</v>
      </c>
      <c r="M180" t="s">
        <v>728</v>
      </c>
      <c r="N180" t="s">
        <v>729</v>
      </c>
      <c r="O180" t="s">
        <v>26</v>
      </c>
      <c r="P180" t="s">
        <v>730</v>
      </c>
      <c r="Q180" t="s">
        <v>40</v>
      </c>
    </row>
    <row r="181" spans="1:17" x14ac:dyDescent="0.25">
      <c r="A181" t="s">
        <v>675</v>
      </c>
      <c r="B181" t="s">
        <v>18</v>
      </c>
      <c r="C181" t="s">
        <v>19</v>
      </c>
      <c r="D181" t="s">
        <v>601</v>
      </c>
      <c r="E181" t="s">
        <v>122</v>
      </c>
      <c r="F181" t="s">
        <v>83</v>
      </c>
      <c r="G181">
        <v>28202</v>
      </c>
      <c r="H181">
        <v>159</v>
      </c>
      <c r="I181">
        <v>29</v>
      </c>
      <c r="J181" s="4">
        <f>MAX(Inventory[[#This Row],[Qty On Hand]]-Inventory[[#This Row],[Qty Allocated]],0)</f>
        <v>130</v>
      </c>
      <c r="K181">
        <v>176</v>
      </c>
      <c r="L181" t="s">
        <v>731</v>
      </c>
      <c r="M181" t="s">
        <v>732</v>
      </c>
      <c r="N181" t="s">
        <v>733</v>
      </c>
      <c r="O181" t="s">
        <v>48</v>
      </c>
      <c r="P181" t="s">
        <v>734</v>
      </c>
      <c r="Q181" t="s">
        <v>28</v>
      </c>
    </row>
    <row r="182" spans="1:17" x14ac:dyDescent="0.25">
      <c r="A182" t="s">
        <v>735</v>
      </c>
      <c r="B182" t="s">
        <v>18</v>
      </c>
      <c r="C182" t="s">
        <v>19</v>
      </c>
      <c r="D182" t="s">
        <v>601</v>
      </c>
      <c r="E182" t="s">
        <v>171</v>
      </c>
      <c r="F182" t="s">
        <v>22</v>
      </c>
      <c r="G182">
        <v>94102</v>
      </c>
      <c r="H182">
        <v>9</v>
      </c>
      <c r="I182">
        <v>4</v>
      </c>
      <c r="J182" s="4">
        <f>MAX(Inventory[[#This Row],[Qty On Hand]]-Inventory[[#This Row],[Qty Allocated]],0)</f>
        <v>5</v>
      </c>
      <c r="K182">
        <v>498</v>
      </c>
      <c r="L182" t="s">
        <v>403</v>
      </c>
      <c r="M182" t="s">
        <v>736</v>
      </c>
      <c r="N182" t="s">
        <v>737</v>
      </c>
      <c r="O182" t="s">
        <v>26</v>
      </c>
      <c r="P182" t="s">
        <v>738</v>
      </c>
      <c r="Q182" t="s">
        <v>92</v>
      </c>
    </row>
    <row r="183" spans="1:17" x14ac:dyDescent="0.25">
      <c r="A183" t="s">
        <v>735</v>
      </c>
      <c r="B183" t="s">
        <v>18</v>
      </c>
      <c r="C183" t="s">
        <v>19</v>
      </c>
      <c r="D183" t="s">
        <v>601</v>
      </c>
      <c r="E183" t="s">
        <v>171</v>
      </c>
      <c r="F183" t="s">
        <v>35</v>
      </c>
      <c r="G183">
        <v>75201</v>
      </c>
      <c r="H183">
        <v>110</v>
      </c>
      <c r="I183">
        <v>16</v>
      </c>
      <c r="J183" s="4">
        <f>MAX(Inventory[[#This Row],[Qty On Hand]]-Inventory[[#This Row],[Qty Allocated]],0)</f>
        <v>94</v>
      </c>
      <c r="K183">
        <v>349</v>
      </c>
      <c r="L183" t="s">
        <v>739</v>
      </c>
      <c r="M183" t="s">
        <v>740</v>
      </c>
      <c r="N183" t="s">
        <v>741</v>
      </c>
      <c r="O183" t="s">
        <v>26</v>
      </c>
      <c r="P183" t="s">
        <v>742</v>
      </c>
      <c r="Q183" t="s">
        <v>40</v>
      </c>
    </row>
    <row r="184" spans="1:17" x14ac:dyDescent="0.25">
      <c r="A184" t="s">
        <v>735</v>
      </c>
      <c r="B184" t="s">
        <v>18</v>
      </c>
      <c r="C184" t="s">
        <v>19</v>
      </c>
      <c r="D184" t="s">
        <v>601</v>
      </c>
      <c r="E184" t="s">
        <v>171</v>
      </c>
      <c r="F184" t="s">
        <v>35</v>
      </c>
      <c r="G184">
        <v>75201</v>
      </c>
      <c r="H184">
        <v>108</v>
      </c>
      <c r="I184">
        <v>27</v>
      </c>
      <c r="J184" s="4">
        <f>MAX(Inventory[[#This Row],[Qty On Hand]]-Inventory[[#This Row],[Qty Allocated]],0)</f>
        <v>81</v>
      </c>
      <c r="K184">
        <v>224</v>
      </c>
      <c r="L184" t="s">
        <v>743</v>
      </c>
      <c r="M184" t="s">
        <v>744</v>
      </c>
      <c r="N184" t="s">
        <v>125</v>
      </c>
      <c r="O184" t="s">
        <v>26</v>
      </c>
      <c r="P184" t="s">
        <v>745</v>
      </c>
      <c r="Q184" t="s">
        <v>40</v>
      </c>
    </row>
    <row r="185" spans="1:17" x14ac:dyDescent="0.25">
      <c r="A185" t="s">
        <v>735</v>
      </c>
      <c r="B185" t="s">
        <v>18</v>
      </c>
      <c r="C185" t="s">
        <v>19</v>
      </c>
      <c r="D185" t="s">
        <v>601</v>
      </c>
      <c r="E185" t="s">
        <v>171</v>
      </c>
      <c r="F185" t="s">
        <v>35</v>
      </c>
      <c r="G185">
        <v>75201</v>
      </c>
      <c r="H185">
        <v>80</v>
      </c>
      <c r="I185">
        <v>59</v>
      </c>
      <c r="J185" s="4">
        <f>MAX(Inventory[[#This Row],[Qty On Hand]]-Inventory[[#This Row],[Qty Allocated]],0)</f>
        <v>21</v>
      </c>
      <c r="K185">
        <v>263</v>
      </c>
      <c r="L185" t="s">
        <v>746</v>
      </c>
      <c r="M185" t="s">
        <v>747</v>
      </c>
      <c r="N185" t="s">
        <v>748</v>
      </c>
      <c r="O185" t="s">
        <v>48</v>
      </c>
      <c r="P185" t="s">
        <v>749</v>
      </c>
      <c r="Q185" t="s">
        <v>34</v>
      </c>
    </row>
    <row r="186" spans="1:17" x14ac:dyDescent="0.25">
      <c r="A186" t="s">
        <v>735</v>
      </c>
      <c r="B186" t="s">
        <v>18</v>
      </c>
      <c r="C186" t="s">
        <v>19</v>
      </c>
      <c r="D186" t="s">
        <v>601</v>
      </c>
      <c r="E186" t="s">
        <v>171</v>
      </c>
      <c r="F186" t="s">
        <v>35</v>
      </c>
      <c r="G186">
        <v>75201</v>
      </c>
      <c r="H186">
        <v>171</v>
      </c>
      <c r="I186">
        <v>55</v>
      </c>
      <c r="J186" s="4">
        <f>MAX(Inventory[[#This Row],[Qty On Hand]]-Inventory[[#This Row],[Qty Allocated]],0)</f>
        <v>116</v>
      </c>
      <c r="K186">
        <v>347</v>
      </c>
      <c r="L186" t="s">
        <v>750</v>
      </c>
      <c r="M186" t="s">
        <v>751</v>
      </c>
      <c r="N186" t="s">
        <v>752</v>
      </c>
      <c r="O186" t="s">
        <v>26</v>
      </c>
      <c r="P186" t="s">
        <v>78</v>
      </c>
      <c r="Q186" t="s">
        <v>28</v>
      </c>
    </row>
    <row r="187" spans="1:17" x14ac:dyDescent="0.25">
      <c r="A187" t="s">
        <v>735</v>
      </c>
      <c r="B187" t="s">
        <v>18</v>
      </c>
      <c r="C187" t="s">
        <v>19</v>
      </c>
      <c r="D187" t="s">
        <v>601</v>
      </c>
      <c r="E187" t="s">
        <v>171</v>
      </c>
      <c r="F187" t="s">
        <v>35</v>
      </c>
      <c r="G187">
        <v>75201</v>
      </c>
      <c r="H187">
        <v>147</v>
      </c>
      <c r="I187">
        <v>81</v>
      </c>
      <c r="J187" s="4">
        <f>MAX(Inventory[[#This Row],[Qty On Hand]]-Inventory[[#This Row],[Qty Allocated]],0)</f>
        <v>66</v>
      </c>
      <c r="K187">
        <v>320</v>
      </c>
      <c r="L187" t="s">
        <v>753</v>
      </c>
      <c r="M187" t="s">
        <v>754</v>
      </c>
      <c r="N187" t="s">
        <v>145</v>
      </c>
      <c r="O187" t="s">
        <v>26</v>
      </c>
      <c r="P187" t="s">
        <v>755</v>
      </c>
      <c r="Q187" t="s">
        <v>28</v>
      </c>
    </row>
    <row r="188" spans="1:17" x14ac:dyDescent="0.25">
      <c r="A188" t="s">
        <v>735</v>
      </c>
      <c r="B188" t="s">
        <v>18</v>
      </c>
      <c r="C188" t="s">
        <v>19</v>
      </c>
      <c r="D188" t="s">
        <v>601</v>
      </c>
      <c r="E188" t="s">
        <v>171</v>
      </c>
      <c r="F188" t="s">
        <v>35</v>
      </c>
      <c r="G188">
        <v>75201</v>
      </c>
      <c r="H188">
        <v>66</v>
      </c>
      <c r="I188">
        <v>66</v>
      </c>
      <c r="J188" s="4">
        <f>MAX(Inventory[[#This Row],[Qty On Hand]]-Inventory[[#This Row],[Qty Allocated]],0)</f>
        <v>0</v>
      </c>
      <c r="K188">
        <v>365</v>
      </c>
      <c r="L188" t="s">
        <v>756</v>
      </c>
      <c r="M188" t="s">
        <v>757</v>
      </c>
      <c r="N188" t="s">
        <v>758</v>
      </c>
      <c r="O188" t="s">
        <v>26</v>
      </c>
      <c r="P188" t="s">
        <v>428</v>
      </c>
      <c r="Q188" t="s">
        <v>34</v>
      </c>
    </row>
    <row r="189" spans="1:17" x14ac:dyDescent="0.25">
      <c r="A189" t="s">
        <v>735</v>
      </c>
      <c r="B189" t="s">
        <v>18</v>
      </c>
      <c r="C189" t="s">
        <v>19</v>
      </c>
      <c r="D189" t="s">
        <v>601</v>
      </c>
      <c r="E189" t="s">
        <v>171</v>
      </c>
      <c r="F189" t="s">
        <v>62</v>
      </c>
      <c r="G189">
        <v>63101</v>
      </c>
      <c r="H189">
        <v>95</v>
      </c>
      <c r="I189">
        <v>89</v>
      </c>
      <c r="J189" s="4">
        <f>MAX(Inventory[[#This Row],[Qty On Hand]]-Inventory[[#This Row],[Qty Allocated]],0)</f>
        <v>6</v>
      </c>
      <c r="K189">
        <v>358</v>
      </c>
      <c r="L189" t="s">
        <v>759</v>
      </c>
      <c r="M189" t="s">
        <v>760</v>
      </c>
      <c r="N189" t="s">
        <v>409</v>
      </c>
      <c r="O189" t="s">
        <v>26</v>
      </c>
      <c r="P189" t="s">
        <v>761</v>
      </c>
      <c r="Q189" t="s">
        <v>28</v>
      </c>
    </row>
    <row r="190" spans="1:17" x14ac:dyDescent="0.25">
      <c r="A190" t="s">
        <v>735</v>
      </c>
      <c r="B190" t="s">
        <v>18</v>
      </c>
      <c r="C190" t="s">
        <v>19</v>
      </c>
      <c r="D190" t="s">
        <v>601</v>
      </c>
      <c r="E190" t="s">
        <v>171</v>
      </c>
      <c r="F190" t="s">
        <v>62</v>
      </c>
      <c r="G190">
        <v>63101</v>
      </c>
      <c r="H190">
        <v>114</v>
      </c>
      <c r="I190">
        <v>5</v>
      </c>
      <c r="J190" s="4">
        <f>MAX(Inventory[[#This Row],[Qty On Hand]]-Inventory[[#This Row],[Qty Allocated]],0)</f>
        <v>109</v>
      </c>
      <c r="K190">
        <v>321</v>
      </c>
      <c r="L190" t="s">
        <v>762</v>
      </c>
      <c r="M190" t="s">
        <v>763</v>
      </c>
      <c r="N190" t="s">
        <v>764</v>
      </c>
      <c r="O190" t="s">
        <v>26</v>
      </c>
      <c r="P190" t="s">
        <v>27</v>
      </c>
      <c r="Q190" t="s">
        <v>40</v>
      </c>
    </row>
    <row r="191" spans="1:17" x14ac:dyDescent="0.25">
      <c r="A191" t="s">
        <v>735</v>
      </c>
      <c r="B191" t="s">
        <v>18</v>
      </c>
      <c r="C191" t="s">
        <v>19</v>
      </c>
      <c r="D191" t="s">
        <v>601</v>
      </c>
      <c r="E191" t="s">
        <v>171</v>
      </c>
      <c r="F191" t="s">
        <v>62</v>
      </c>
      <c r="G191">
        <v>63101</v>
      </c>
      <c r="H191">
        <v>134</v>
      </c>
      <c r="I191">
        <v>25</v>
      </c>
      <c r="J191" s="4">
        <f>MAX(Inventory[[#This Row],[Qty On Hand]]-Inventory[[#This Row],[Qty Allocated]],0)</f>
        <v>109</v>
      </c>
      <c r="K191">
        <v>368</v>
      </c>
      <c r="L191" t="s">
        <v>765</v>
      </c>
      <c r="M191" t="s">
        <v>766</v>
      </c>
      <c r="N191" t="s">
        <v>767</v>
      </c>
      <c r="O191" t="s">
        <v>26</v>
      </c>
      <c r="P191" t="s">
        <v>768</v>
      </c>
      <c r="Q191" t="s">
        <v>40</v>
      </c>
    </row>
    <row r="192" spans="1:17" x14ac:dyDescent="0.25">
      <c r="A192" t="s">
        <v>735</v>
      </c>
      <c r="B192" t="s">
        <v>18</v>
      </c>
      <c r="C192" t="s">
        <v>19</v>
      </c>
      <c r="D192" t="s">
        <v>601</v>
      </c>
      <c r="E192" t="s">
        <v>171</v>
      </c>
      <c r="F192" t="s">
        <v>83</v>
      </c>
      <c r="G192">
        <v>28202</v>
      </c>
      <c r="H192">
        <v>118</v>
      </c>
      <c r="I192">
        <v>33</v>
      </c>
      <c r="J192" s="4">
        <f>MAX(Inventory[[#This Row],[Qty On Hand]]-Inventory[[#This Row],[Qty Allocated]],0)</f>
        <v>85</v>
      </c>
      <c r="K192">
        <v>332</v>
      </c>
      <c r="L192" t="s">
        <v>769</v>
      </c>
      <c r="M192" t="s">
        <v>770</v>
      </c>
      <c r="N192" t="s">
        <v>771</v>
      </c>
      <c r="O192" t="s">
        <v>26</v>
      </c>
      <c r="P192" t="s">
        <v>519</v>
      </c>
      <c r="Q192" t="s">
        <v>92</v>
      </c>
    </row>
    <row r="193" spans="1:17" x14ac:dyDescent="0.25">
      <c r="A193" t="s">
        <v>735</v>
      </c>
      <c r="B193" t="s">
        <v>18</v>
      </c>
      <c r="C193" t="s">
        <v>19</v>
      </c>
      <c r="D193" t="s">
        <v>601</v>
      </c>
      <c r="E193" t="s">
        <v>171</v>
      </c>
      <c r="F193" t="s">
        <v>83</v>
      </c>
      <c r="G193">
        <v>28202</v>
      </c>
      <c r="H193">
        <v>150</v>
      </c>
      <c r="I193">
        <v>66</v>
      </c>
      <c r="J193" s="4">
        <f>MAX(Inventory[[#This Row],[Qty On Hand]]-Inventory[[#This Row],[Qty Allocated]],0)</f>
        <v>84</v>
      </c>
      <c r="K193">
        <v>267</v>
      </c>
      <c r="L193" t="s">
        <v>772</v>
      </c>
      <c r="M193" t="s">
        <v>773</v>
      </c>
      <c r="N193" t="s">
        <v>774</v>
      </c>
      <c r="O193" t="s">
        <v>26</v>
      </c>
      <c r="P193" t="s">
        <v>775</v>
      </c>
      <c r="Q193" t="s">
        <v>34</v>
      </c>
    </row>
    <row r="194" spans="1:17" x14ac:dyDescent="0.25">
      <c r="A194" t="s">
        <v>735</v>
      </c>
      <c r="B194" t="s">
        <v>18</v>
      </c>
      <c r="C194" t="s">
        <v>19</v>
      </c>
      <c r="D194" t="s">
        <v>601</v>
      </c>
      <c r="E194" t="s">
        <v>171</v>
      </c>
      <c r="F194" t="s">
        <v>83</v>
      </c>
      <c r="G194">
        <v>28202</v>
      </c>
      <c r="H194">
        <v>100</v>
      </c>
      <c r="I194">
        <v>21</v>
      </c>
      <c r="J194" s="4">
        <f>MAX(Inventory[[#This Row],[Qty On Hand]]-Inventory[[#This Row],[Qty Allocated]],0)</f>
        <v>79</v>
      </c>
      <c r="K194">
        <v>173</v>
      </c>
      <c r="L194" t="s">
        <v>776</v>
      </c>
      <c r="M194" t="s">
        <v>777</v>
      </c>
      <c r="N194" t="s">
        <v>778</v>
      </c>
      <c r="O194" t="s">
        <v>26</v>
      </c>
      <c r="P194" t="s">
        <v>779</v>
      </c>
      <c r="Q194" t="s">
        <v>34</v>
      </c>
    </row>
    <row r="195" spans="1:17" x14ac:dyDescent="0.25">
      <c r="A195" t="s">
        <v>735</v>
      </c>
      <c r="B195" t="s">
        <v>18</v>
      </c>
      <c r="C195" t="s">
        <v>19</v>
      </c>
      <c r="D195" t="s">
        <v>601</v>
      </c>
      <c r="E195" t="s">
        <v>171</v>
      </c>
      <c r="F195" t="s">
        <v>83</v>
      </c>
      <c r="G195">
        <v>28202</v>
      </c>
      <c r="H195">
        <v>98</v>
      </c>
      <c r="I195">
        <v>87</v>
      </c>
      <c r="J195" s="4">
        <f>MAX(Inventory[[#This Row],[Qty On Hand]]-Inventory[[#This Row],[Qty Allocated]],0)</f>
        <v>11</v>
      </c>
      <c r="K195">
        <v>232</v>
      </c>
      <c r="L195" t="s">
        <v>780</v>
      </c>
      <c r="M195" t="s">
        <v>781</v>
      </c>
      <c r="N195" t="s">
        <v>782</v>
      </c>
      <c r="O195" t="s">
        <v>26</v>
      </c>
      <c r="P195" t="s">
        <v>783</v>
      </c>
      <c r="Q195" t="s">
        <v>34</v>
      </c>
    </row>
    <row r="196" spans="1:17" x14ac:dyDescent="0.25">
      <c r="A196" t="s">
        <v>735</v>
      </c>
      <c r="B196" t="s">
        <v>18</v>
      </c>
      <c r="C196" t="s">
        <v>19</v>
      </c>
      <c r="D196" t="s">
        <v>601</v>
      </c>
      <c r="E196" t="s">
        <v>171</v>
      </c>
      <c r="F196" t="s">
        <v>83</v>
      </c>
      <c r="G196">
        <v>28202</v>
      </c>
      <c r="H196">
        <v>182</v>
      </c>
      <c r="I196">
        <v>14</v>
      </c>
      <c r="J196" s="4">
        <f>MAX(Inventory[[#This Row],[Qty On Hand]]-Inventory[[#This Row],[Qty Allocated]],0)</f>
        <v>168</v>
      </c>
      <c r="K196">
        <v>245</v>
      </c>
      <c r="L196" t="s">
        <v>784</v>
      </c>
      <c r="M196" t="s">
        <v>785</v>
      </c>
      <c r="N196" t="s">
        <v>786</v>
      </c>
      <c r="O196" t="s">
        <v>26</v>
      </c>
      <c r="P196" t="s">
        <v>787</v>
      </c>
      <c r="Q196" t="s">
        <v>28</v>
      </c>
    </row>
    <row r="197" spans="1:17" x14ac:dyDescent="0.25">
      <c r="A197" t="s">
        <v>788</v>
      </c>
      <c r="B197" t="s">
        <v>789</v>
      </c>
      <c r="C197" t="s">
        <v>19</v>
      </c>
      <c r="D197" t="s">
        <v>601</v>
      </c>
      <c r="E197" t="s">
        <v>790</v>
      </c>
      <c r="F197" t="s">
        <v>62</v>
      </c>
      <c r="G197">
        <v>63101</v>
      </c>
      <c r="H197">
        <v>69</v>
      </c>
      <c r="I197">
        <v>7</v>
      </c>
      <c r="J197" s="4">
        <f>MAX(Inventory[[#This Row],[Qty On Hand]]-Inventory[[#This Row],[Qty Allocated]],0)</f>
        <v>62</v>
      </c>
      <c r="K197">
        <v>263</v>
      </c>
      <c r="L197" t="s">
        <v>791</v>
      </c>
      <c r="M197" t="s">
        <v>792</v>
      </c>
      <c r="N197" t="s">
        <v>793</v>
      </c>
      <c r="O197" t="s">
        <v>26</v>
      </c>
      <c r="P197" t="s">
        <v>794</v>
      </c>
      <c r="Q197" t="s">
        <v>28</v>
      </c>
    </row>
    <row r="198" spans="1:17" x14ac:dyDescent="0.25">
      <c r="A198" t="s">
        <v>788</v>
      </c>
      <c r="B198" t="s">
        <v>789</v>
      </c>
      <c r="C198" t="s">
        <v>19</v>
      </c>
      <c r="D198" t="s">
        <v>601</v>
      </c>
      <c r="E198" t="s">
        <v>790</v>
      </c>
      <c r="F198" t="s">
        <v>35</v>
      </c>
      <c r="G198">
        <v>75201</v>
      </c>
      <c r="H198">
        <v>192</v>
      </c>
      <c r="I198">
        <v>0</v>
      </c>
      <c r="J198" s="4">
        <f>MAX(Inventory[[#This Row],[Qty On Hand]]-Inventory[[#This Row],[Qty Allocated]],0)</f>
        <v>192</v>
      </c>
      <c r="K198">
        <v>385</v>
      </c>
      <c r="L198" t="s">
        <v>795</v>
      </c>
      <c r="M198" t="s">
        <v>796</v>
      </c>
      <c r="N198" t="s">
        <v>797</v>
      </c>
      <c r="O198" t="s">
        <v>26</v>
      </c>
      <c r="P198" t="s">
        <v>798</v>
      </c>
      <c r="Q198" t="s">
        <v>40</v>
      </c>
    </row>
    <row r="199" spans="1:17" x14ac:dyDescent="0.25">
      <c r="A199" t="s">
        <v>788</v>
      </c>
      <c r="B199" t="s">
        <v>789</v>
      </c>
      <c r="C199" t="s">
        <v>19</v>
      </c>
      <c r="D199" t="s">
        <v>601</v>
      </c>
      <c r="E199" t="s">
        <v>790</v>
      </c>
      <c r="F199" t="s">
        <v>29</v>
      </c>
      <c r="G199">
        <v>98072</v>
      </c>
      <c r="H199">
        <v>105</v>
      </c>
      <c r="I199">
        <v>9</v>
      </c>
      <c r="J199" s="4">
        <f>MAX(Inventory[[#This Row],[Qty On Hand]]-Inventory[[#This Row],[Qty Allocated]],0)</f>
        <v>96</v>
      </c>
      <c r="K199">
        <v>375</v>
      </c>
      <c r="L199" t="s">
        <v>799</v>
      </c>
      <c r="M199" t="s">
        <v>800</v>
      </c>
      <c r="N199" t="s">
        <v>801</v>
      </c>
      <c r="O199" t="s">
        <v>26</v>
      </c>
      <c r="P199" t="s">
        <v>802</v>
      </c>
      <c r="Q199" t="s">
        <v>92</v>
      </c>
    </row>
    <row r="200" spans="1:17" x14ac:dyDescent="0.25">
      <c r="A200" t="s">
        <v>803</v>
      </c>
      <c r="B200" t="s">
        <v>789</v>
      </c>
      <c r="C200" t="s">
        <v>19</v>
      </c>
      <c r="D200" t="s">
        <v>601</v>
      </c>
      <c r="E200" t="s">
        <v>804</v>
      </c>
      <c r="F200" t="s">
        <v>62</v>
      </c>
      <c r="G200">
        <v>63101</v>
      </c>
      <c r="H200">
        <v>65</v>
      </c>
      <c r="I200">
        <v>0</v>
      </c>
      <c r="J200" s="4">
        <f>MAX(Inventory[[#This Row],[Qty On Hand]]-Inventory[[#This Row],[Qty Allocated]],0)</f>
        <v>65</v>
      </c>
      <c r="K200">
        <v>329</v>
      </c>
      <c r="L200" t="s">
        <v>805</v>
      </c>
      <c r="M200" t="s">
        <v>806</v>
      </c>
      <c r="N200" t="s">
        <v>807</v>
      </c>
      <c r="O200" t="s">
        <v>26</v>
      </c>
      <c r="P200" t="s">
        <v>808</v>
      </c>
      <c r="Q200" t="s">
        <v>92</v>
      </c>
    </row>
    <row r="201" spans="1:17" x14ac:dyDescent="0.25">
      <c r="A201" t="s">
        <v>803</v>
      </c>
      <c r="B201" t="s">
        <v>789</v>
      </c>
      <c r="C201" t="s">
        <v>19</v>
      </c>
      <c r="D201" t="s">
        <v>601</v>
      </c>
      <c r="E201" t="s">
        <v>804</v>
      </c>
      <c r="F201" t="s">
        <v>35</v>
      </c>
      <c r="G201">
        <v>75201</v>
      </c>
      <c r="H201">
        <v>196</v>
      </c>
      <c r="I201">
        <v>9</v>
      </c>
      <c r="J201" s="4">
        <f>MAX(Inventory[[#This Row],[Qty On Hand]]-Inventory[[#This Row],[Qty Allocated]],0)</f>
        <v>187</v>
      </c>
      <c r="K201">
        <v>242</v>
      </c>
      <c r="L201" t="s">
        <v>809</v>
      </c>
      <c r="M201" t="s">
        <v>810</v>
      </c>
      <c r="N201" t="s">
        <v>232</v>
      </c>
      <c r="O201" t="s">
        <v>26</v>
      </c>
      <c r="P201" t="s">
        <v>811</v>
      </c>
      <c r="Q201" t="s">
        <v>34</v>
      </c>
    </row>
    <row r="202" spans="1:17" x14ac:dyDescent="0.25">
      <c r="A202" t="s">
        <v>803</v>
      </c>
      <c r="B202" t="s">
        <v>789</v>
      </c>
      <c r="C202" t="s">
        <v>19</v>
      </c>
      <c r="D202" t="s">
        <v>601</v>
      </c>
      <c r="E202" t="s">
        <v>804</v>
      </c>
      <c r="F202" t="s">
        <v>29</v>
      </c>
      <c r="G202">
        <v>98072</v>
      </c>
      <c r="H202">
        <v>67</v>
      </c>
      <c r="I202">
        <v>8</v>
      </c>
      <c r="J202" s="4">
        <f>MAX(Inventory[[#This Row],[Qty On Hand]]-Inventory[[#This Row],[Qty Allocated]],0)</f>
        <v>59</v>
      </c>
      <c r="K202">
        <v>237</v>
      </c>
      <c r="L202" t="s">
        <v>812</v>
      </c>
      <c r="M202" t="s">
        <v>813</v>
      </c>
      <c r="N202" t="s">
        <v>814</v>
      </c>
      <c r="O202" t="s">
        <v>26</v>
      </c>
      <c r="P202" t="s">
        <v>815</v>
      </c>
      <c r="Q202" t="s">
        <v>40</v>
      </c>
    </row>
    <row r="203" spans="1:17" x14ac:dyDescent="0.25">
      <c r="A203" t="s">
        <v>816</v>
      </c>
      <c r="B203" t="s">
        <v>789</v>
      </c>
      <c r="C203" t="s">
        <v>19</v>
      </c>
      <c r="D203" t="s">
        <v>601</v>
      </c>
      <c r="E203" t="s">
        <v>817</v>
      </c>
      <c r="F203" t="s">
        <v>62</v>
      </c>
      <c r="G203">
        <v>63101</v>
      </c>
      <c r="H203">
        <v>102</v>
      </c>
      <c r="I203">
        <v>2</v>
      </c>
      <c r="J203" s="4">
        <f>MAX(Inventory[[#This Row],[Qty On Hand]]-Inventory[[#This Row],[Qty Allocated]],0)</f>
        <v>100</v>
      </c>
      <c r="K203">
        <v>283</v>
      </c>
      <c r="L203" t="s">
        <v>818</v>
      </c>
      <c r="M203" t="s">
        <v>819</v>
      </c>
      <c r="N203" t="s">
        <v>820</v>
      </c>
      <c r="O203" t="s">
        <v>26</v>
      </c>
      <c r="P203" t="s">
        <v>821</v>
      </c>
      <c r="Q203" t="s">
        <v>28</v>
      </c>
    </row>
    <row r="204" spans="1:17" x14ac:dyDescent="0.25">
      <c r="A204" t="s">
        <v>816</v>
      </c>
      <c r="B204" t="s">
        <v>789</v>
      </c>
      <c r="C204" t="s">
        <v>19</v>
      </c>
      <c r="D204" t="s">
        <v>601</v>
      </c>
      <c r="E204" t="s">
        <v>817</v>
      </c>
      <c r="F204" t="s">
        <v>35</v>
      </c>
      <c r="G204">
        <v>75201</v>
      </c>
      <c r="H204">
        <v>157</v>
      </c>
      <c r="I204">
        <v>1</v>
      </c>
      <c r="J204" s="4">
        <f>MAX(Inventory[[#This Row],[Qty On Hand]]-Inventory[[#This Row],[Qty Allocated]],0)</f>
        <v>156</v>
      </c>
      <c r="K204">
        <v>305</v>
      </c>
      <c r="L204" t="s">
        <v>822</v>
      </c>
      <c r="M204" t="s">
        <v>823</v>
      </c>
      <c r="N204" t="s">
        <v>824</v>
      </c>
      <c r="O204" t="s">
        <v>26</v>
      </c>
      <c r="P204" t="s">
        <v>825</v>
      </c>
      <c r="Q204" t="s">
        <v>92</v>
      </c>
    </row>
    <row r="205" spans="1:17" x14ac:dyDescent="0.25">
      <c r="A205" t="s">
        <v>816</v>
      </c>
      <c r="B205" t="s">
        <v>789</v>
      </c>
      <c r="C205" t="s">
        <v>19</v>
      </c>
      <c r="D205" t="s">
        <v>601</v>
      </c>
      <c r="E205" t="s">
        <v>817</v>
      </c>
      <c r="F205" t="s">
        <v>29</v>
      </c>
      <c r="G205">
        <v>98072</v>
      </c>
      <c r="H205">
        <v>128</v>
      </c>
      <c r="I205">
        <v>3</v>
      </c>
      <c r="J205" s="4">
        <f>MAX(Inventory[[#This Row],[Qty On Hand]]-Inventory[[#This Row],[Qty Allocated]],0)</f>
        <v>125</v>
      </c>
      <c r="K205">
        <v>358</v>
      </c>
      <c r="L205" t="s">
        <v>826</v>
      </c>
      <c r="M205" t="s">
        <v>827</v>
      </c>
      <c r="N205" t="s">
        <v>828</v>
      </c>
      <c r="O205" t="s">
        <v>26</v>
      </c>
      <c r="P205" t="s">
        <v>57</v>
      </c>
      <c r="Q205" t="s">
        <v>92</v>
      </c>
    </row>
    <row r="206" spans="1:17" x14ac:dyDescent="0.25">
      <c r="A206" t="s">
        <v>829</v>
      </c>
      <c r="B206" t="s">
        <v>789</v>
      </c>
      <c r="C206" t="s">
        <v>19</v>
      </c>
      <c r="D206" t="s">
        <v>601</v>
      </c>
      <c r="E206" t="s">
        <v>830</v>
      </c>
      <c r="F206" t="s">
        <v>62</v>
      </c>
      <c r="G206">
        <v>63101</v>
      </c>
      <c r="H206">
        <v>171</v>
      </c>
      <c r="I206">
        <v>5</v>
      </c>
      <c r="J206" s="4">
        <f>MAX(Inventory[[#This Row],[Qty On Hand]]-Inventory[[#This Row],[Qty Allocated]],0)</f>
        <v>166</v>
      </c>
      <c r="K206">
        <v>292</v>
      </c>
      <c r="L206" t="s">
        <v>831</v>
      </c>
      <c r="M206" t="s">
        <v>832</v>
      </c>
      <c r="N206" t="s">
        <v>833</v>
      </c>
      <c r="O206" t="s">
        <v>26</v>
      </c>
      <c r="P206" t="s">
        <v>834</v>
      </c>
      <c r="Q206" t="s">
        <v>34</v>
      </c>
    </row>
    <row r="207" spans="1:17" x14ac:dyDescent="0.25">
      <c r="A207" t="s">
        <v>829</v>
      </c>
      <c r="B207" t="s">
        <v>789</v>
      </c>
      <c r="C207" t="s">
        <v>19</v>
      </c>
      <c r="D207" t="s">
        <v>601</v>
      </c>
      <c r="E207" t="s">
        <v>830</v>
      </c>
      <c r="F207" t="s">
        <v>35</v>
      </c>
      <c r="G207">
        <v>75201</v>
      </c>
      <c r="H207">
        <v>96</v>
      </c>
      <c r="I207">
        <v>0</v>
      </c>
      <c r="J207" s="4">
        <f>MAX(Inventory[[#This Row],[Qty On Hand]]-Inventory[[#This Row],[Qty Allocated]],0)</f>
        <v>96</v>
      </c>
      <c r="K207">
        <v>234</v>
      </c>
      <c r="L207" t="s">
        <v>835</v>
      </c>
      <c r="M207" t="s">
        <v>836</v>
      </c>
      <c r="N207" t="s">
        <v>837</v>
      </c>
      <c r="O207" t="s">
        <v>26</v>
      </c>
      <c r="P207" t="s">
        <v>838</v>
      </c>
      <c r="Q207" t="s">
        <v>28</v>
      </c>
    </row>
    <row r="208" spans="1:17" x14ac:dyDescent="0.25">
      <c r="A208" t="s">
        <v>829</v>
      </c>
      <c r="B208" t="s">
        <v>789</v>
      </c>
      <c r="C208" t="s">
        <v>19</v>
      </c>
      <c r="D208" t="s">
        <v>601</v>
      </c>
      <c r="E208" t="s">
        <v>830</v>
      </c>
      <c r="F208" t="s">
        <v>29</v>
      </c>
      <c r="G208">
        <v>98072</v>
      </c>
      <c r="H208">
        <v>173</v>
      </c>
      <c r="I208">
        <v>6</v>
      </c>
      <c r="J208" s="4">
        <f>MAX(Inventory[[#This Row],[Qty On Hand]]-Inventory[[#This Row],[Qty Allocated]],0)</f>
        <v>167</v>
      </c>
      <c r="K208">
        <v>235</v>
      </c>
      <c r="L208" t="s">
        <v>839</v>
      </c>
      <c r="M208" t="s">
        <v>840</v>
      </c>
      <c r="N208" t="s">
        <v>841</v>
      </c>
      <c r="O208" t="s">
        <v>26</v>
      </c>
      <c r="P208" t="s">
        <v>711</v>
      </c>
      <c r="Q208" t="s">
        <v>92</v>
      </c>
    </row>
    <row r="209" spans="1:17" x14ac:dyDescent="0.25">
      <c r="A209" t="s">
        <v>842</v>
      </c>
      <c r="B209" t="s">
        <v>789</v>
      </c>
      <c r="C209" t="s">
        <v>19</v>
      </c>
      <c r="D209" t="s">
        <v>601</v>
      </c>
      <c r="E209" t="s">
        <v>843</v>
      </c>
      <c r="F209" t="s">
        <v>62</v>
      </c>
      <c r="G209">
        <v>63101</v>
      </c>
      <c r="H209">
        <v>164</v>
      </c>
      <c r="I209">
        <v>6</v>
      </c>
      <c r="J209" s="4">
        <f>MAX(Inventory[[#This Row],[Qty On Hand]]-Inventory[[#This Row],[Qty Allocated]],0)</f>
        <v>158</v>
      </c>
      <c r="K209">
        <v>265</v>
      </c>
      <c r="L209" t="s">
        <v>844</v>
      </c>
      <c r="M209" t="s">
        <v>845</v>
      </c>
      <c r="N209" t="s">
        <v>846</v>
      </c>
      <c r="O209" t="s">
        <v>26</v>
      </c>
      <c r="P209" t="s">
        <v>406</v>
      </c>
      <c r="Q209" t="s">
        <v>34</v>
      </c>
    </row>
    <row r="210" spans="1:17" x14ac:dyDescent="0.25">
      <c r="A210" t="s">
        <v>842</v>
      </c>
      <c r="B210" t="s">
        <v>789</v>
      </c>
      <c r="C210" t="s">
        <v>19</v>
      </c>
      <c r="D210" t="s">
        <v>601</v>
      </c>
      <c r="E210" t="s">
        <v>843</v>
      </c>
      <c r="F210" t="s">
        <v>35</v>
      </c>
      <c r="G210">
        <v>75201</v>
      </c>
      <c r="H210">
        <v>157</v>
      </c>
      <c r="I210">
        <v>9</v>
      </c>
      <c r="J210" s="4">
        <f>MAX(Inventory[[#This Row],[Qty On Hand]]-Inventory[[#This Row],[Qty Allocated]],0)</f>
        <v>148</v>
      </c>
      <c r="K210">
        <v>341</v>
      </c>
      <c r="L210" t="s">
        <v>847</v>
      </c>
      <c r="M210" t="s">
        <v>848</v>
      </c>
      <c r="N210" t="s">
        <v>849</v>
      </c>
      <c r="O210" t="s">
        <v>26</v>
      </c>
      <c r="P210" t="s">
        <v>850</v>
      </c>
      <c r="Q210" t="s">
        <v>34</v>
      </c>
    </row>
    <row r="211" spans="1:17" x14ac:dyDescent="0.25">
      <c r="A211" t="s">
        <v>842</v>
      </c>
      <c r="B211" t="s">
        <v>789</v>
      </c>
      <c r="C211" t="s">
        <v>19</v>
      </c>
      <c r="D211" t="s">
        <v>601</v>
      </c>
      <c r="E211" t="s">
        <v>843</v>
      </c>
      <c r="F211" t="s">
        <v>29</v>
      </c>
      <c r="G211">
        <v>98072</v>
      </c>
      <c r="H211">
        <v>176</v>
      </c>
      <c r="I211">
        <v>9</v>
      </c>
      <c r="J211" s="4">
        <f>MAX(Inventory[[#This Row],[Qty On Hand]]-Inventory[[#This Row],[Qty Allocated]],0)</f>
        <v>167</v>
      </c>
      <c r="K211">
        <v>267</v>
      </c>
      <c r="L211" t="s">
        <v>851</v>
      </c>
      <c r="M211" t="s">
        <v>852</v>
      </c>
      <c r="N211" t="s">
        <v>853</v>
      </c>
      <c r="O211" t="s">
        <v>26</v>
      </c>
      <c r="P211" t="s">
        <v>854</v>
      </c>
      <c r="Q211" t="s">
        <v>92</v>
      </c>
    </row>
    <row r="212" spans="1:17" x14ac:dyDescent="0.25">
      <c r="A212" t="s">
        <v>855</v>
      </c>
      <c r="B212" t="s">
        <v>789</v>
      </c>
      <c r="C212" t="s">
        <v>19</v>
      </c>
      <c r="D212" t="s">
        <v>20</v>
      </c>
      <c r="E212" t="s">
        <v>21</v>
      </c>
      <c r="F212" t="s">
        <v>22</v>
      </c>
      <c r="G212">
        <v>94102</v>
      </c>
      <c r="H212">
        <v>9</v>
      </c>
      <c r="I212">
        <v>4</v>
      </c>
      <c r="J212" s="4">
        <f>MAX(Inventory[[#This Row],[Qty On Hand]]-Inventory[[#This Row],[Qty Allocated]],0)</f>
        <v>5</v>
      </c>
      <c r="K212">
        <v>355</v>
      </c>
      <c r="L212" t="s">
        <v>856</v>
      </c>
      <c r="M212" t="s">
        <v>857</v>
      </c>
      <c r="N212" t="s">
        <v>858</v>
      </c>
      <c r="O212" t="s">
        <v>26</v>
      </c>
      <c r="P212" t="s">
        <v>859</v>
      </c>
      <c r="Q212" t="s">
        <v>40</v>
      </c>
    </row>
    <row r="213" spans="1:17" x14ac:dyDescent="0.25">
      <c r="A213" t="s">
        <v>855</v>
      </c>
      <c r="B213" t="s">
        <v>789</v>
      </c>
      <c r="C213" t="s">
        <v>19</v>
      </c>
      <c r="D213" t="s">
        <v>20</v>
      </c>
      <c r="E213" t="s">
        <v>122</v>
      </c>
      <c r="F213" t="s">
        <v>29</v>
      </c>
      <c r="G213">
        <v>98072</v>
      </c>
      <c r="H213">
        <v>3968</v>
      </c>
      <c r="I213">
        <v>7</v>
      </c>
      <c r="J213" s="4">
        <f>MAX(Inventory[[#This Row],[Qty On Hand]]-Inventory[[#This Row],[Qty Allocated]],0)</f>
        <v>3961</v>
      </c>
      <c r="K213">
        <v>550</v>
      </c>
      <c r="L213" t="s">
        <v>860</v>
      </c>
      <c r="M213" t="s">
        <v>861</v>
      </c>
      <c r="N213" t="s">
        <v>862</v>
      </c>
      <c r="O213" t="s">
        <v>26</v>
      </c>
      <c r="P213" t="s">
        <v>863</v>
      </c>
      <c r="Q213" t="s">
        <v>40</v>
      </c>
    </row>
    <row r="214" spans="1:17" x14ac:dyDescent="0.25">
      <c r="A214" t="s">
        <v>855</v>
      </c>
      <c r="B214" t="s">
        <v>789</v>
      </c>
      <c r="C214" t="s">
        <v>19</v>
      </c>
      <c r="D214" t="s">
        <v>20</v>
      </c>
      <c r="E214" t="s">
        <v>21</v>
      </c>
      <c r="F214" t="s">
        <v>35</v>
      </c>
      <c r="G214">
        <v>75201</v>
      </c>
      <c r="H214">
        <v>182</v>
      </c>
      <c r="I214">
        <v>88</v>
      </c>
      <c r="J214" s="4">
        <f>MAX(Inventory[[#This Row],[Qty On Hand]]-Inventory[[#This Row],[Qty Allocated]],0)</f>
        <v>94</v>
      </c>
      <c r="K214">
        <v>201</v>
      </c>
      <c r="L214" t="s">
        <v>864</v>
      </c>
      <c r="M214" t="s">
        <v>865</v>
      </c>
      <c r="N214" t="s">
        <v>866</v>
      </c>
      <c r="O214" t="s">
        <v>26</v>
      </c>
      <c r="P214" t="s">
        <v>867</v>
      </c>
      <c r="Q214" t="s">
        <v>40</v>
      </c>
    </row>
    <row r="215" spans="1:17" x14ac:dyDescent="0.25">
      <c r="A215" t="s">
        <v>855</v>
      </c>
      <c r="B215" t="s">
        <v>789</v>
      </c>
      <c r="C215" t="s">
        <v>19</v>
      </c>
      <c r="D215" t="s">
        <v>20</v>
      </c>
      <c r="E215" t="s">
        <v>21</v>
      </c>
      <c r="F215" t="s">
        <v>35</v>
      </c>
      <c r="G215">
        <v>75201</v>
      </c>
      <c r="H215">
        <v>93</v>
      </c>
      <c r="I215">
        <v>44</v>
      </c>
      <c r="J215" s="4">
        <f>MAX(Inventory[[#This Row],[Qty On Hand]]-Inventory[[#This Row],[Qty Allocated]],0)</f>
        <v>49</v>
      </c>
      <c r="K215">
        <v>160</v>
      </c>
      <c r="L215" t="s">
        <v>868</v>
      </c>
      <c r="M215" t="s">
        <v>869</v>
      </c>
      <c r="N215" t="s">
        <v>870</v>
      </c>
      <c r="O215" t="s">
        <v>48</v>
      </c>
      <c r="P215" t="s">
        <v>257</v>
      </c>
      <c r="Q215" t="s">
        <v>34</v>
      </c>
    </row>
    <row r="216" spans="1:17" x14ac:dyDescent="0.25">
      <c r="A216" t="s">
        <v>855</v>
      </c>
      <c r="B216" t="s">
        <v>789</v>
      </c>
      <c r="C216" t="s">
        <v>19</v>
      </c>
      <c r="D216" t="s">
        <v>20</v>
      </c>
      <c r="E216" t="s">
        <v>21</v>
      </c>
      <c r="F216" t="s">
        <v>35</v>
      </c>
      <c r="G216">
        <v>75201</v>
      </c>
      <c r="H216">
        <v>96</v>
      </c>
      <c r="I216">
        <v>19</v>
      </c>
      <c r="J216" s="4">
        <f>MAX(Inventory[[#This Row],[Qty On Hand]]-Inventory[[#This Row],[Qty Allocated]],0)</f>
        <v>77</v>
      </c>
      <c r="K216">
        <v>268</v>
      </c>
      <c r="L216" t="s">
        <v>871</v>
      </c>
      <c r="M216" t="s">
        <v>872</v>
      </c>
      <c r="N216" t="s">
        <v>873</v>
      </c>
      <c r="O216" t="s">
        <v>48</v>
      </c>
      <c r="P216" t="s">
        <v>874</v>
      </c>
      <c r="Q216" t="s">
        <v>28</v>
      </c>
    </row>
    <row r="217" spans="1:17" x14ac:dyDescent="0.25">
      <c r="A217" t="s">
        <v>855</v>
      </c>
      <c r="B217" t="s">
        <v>789</v>
      </c>
      <c r="C217" t="s">
        <v>19</v>
      </c>
      <c r="D217" t="s">
        <v>20</v>
      </c>
      <c r="E217" t="s">
        <v>21</v>
      </c>
      <c r="F217" t="s">
        <v>35</v>
      </c>
      <c r="G217">
        <v>75201</v>
      </c>
      <c r="H217">
        <v>139</v>
      </c>
      <c r="I217">
        <v>21</v>
      </c>
      <c r="J217" s="4">
        <f>MAX(Inventory[[#This Row],[Qty On Hand]]-Inventory[[#This Row],[Qty Allocated]],0)</f>
        <v>118</v>
      </c>
      <c r="K217">
        <v>257</v>
      </c>
      <c r="L217" t="s">
        <v>875</v>
      </c>
      <c r="M217" t="s">
        <v>876</v>
      </c>
      <c r="N217" t="s">
        <v>409</v>
      </c>
      <c r="O217" t="s">
        <v>26</v>
      </c>
      <c r="P217" t="s">
        <v>179</v>
      </c>
      <c r="Q217" t="s">
        <v>28</v>
      </c>
    </row>
    <row r="218" spans="1:17" x14ac:dyDescent="0.25">
      <c r="A218" t="s">
        <v>855</v>
      </c>
      <c r="B218" t="s">
        <v>789</v>
      </c>
      <c r="C218" t="s">
        <v>19</v>
      </c>
      <c r="D218" t="s">
        <v>20</v>
      </c>
      <c r="E218" t="s">
        <v>21</v>
      </c>
      <c r="F218" t="s">
        <v>35</v>
      </c>
      <c r="G218">
        <v>75201</v>
      </c>
      <c r="H218">
        <v>135</v>
      </c>
      <c r="I218">
        <v>67</v>
      </c>
      <c r="J218" s="4">
        <f>MAX(Inventory[[#This Row],[Qty On Hand]]-Inventory[[#This Row],[Qty Allocated]],0)</f>
        <v>68</v>
      </c>
      <c r="K218">
        <v>271</v>
      </c>
      <c r="L218" t="s">
        <v>877</v>
      </c>
      <c r="M218" t="s">
        <v>878</v>
      </c>
      <c r="N218" t="s">
        <v>879</v>
      </c>
      <c r="O218" t="s">
        <v>26</v>
      </c>
      <c r="P218" t="s">
        <v>880</v>
      </c>
      <c r="Q218" t="s">
        <v>34</v>
      </c>
    </row>
    <row r="219" spans="1:17" x14ac:dyDescent="0.25">
      <c r="A219" t="s">
        <v>855</v>
      </c>
      <c r="B219" t="s">
        <v>789</v>
      </c>
      <c r="C219" t="s">
        <v>19</v>
      </c>
      <c r="D219" t="s">
        <v>20</v>
      </c>
      <c r="E219" t="s">
        <v>21</v>
      </c>
      <c r="F219" t="s">
        <v>62</v>
      </c>
      <c r="G219">
        <v>63101</v>
      </c>
      <c r="H219">
        <v>159</v>
      </c>
      <c r="I219">
        <v>36</v>
      </c>
      <c r="J219" s="4">
        <f>MAX(Inventory[[#This Row],[Qty On Hand]]-Inventory[[#This Row],[Qty Allocated]],0)</f>
        <v>123</v>
      </c>
      <c r="K219">
        <v>290</v>
      </c>
      <c r="L219" t="s">
        <v>881</v>
      </c>
      <c r="M219" t="s">
        <v>882</v>
      </c>
      <c r="N219" t="s">
        <v>883</v>
      </c>
      <c r="O219" t="s">
        <v>26</v>
      </c>
      <c r="P219" t="s">
        <v>884</v>
      </c>
      <c r="Q219" t="s">
        <v>92</v>
      </c>
    </row>
    <row r="220" spans="1:17" x14ac:dyDescent="0.25">
      <c r="A220" t="s">
        <v>855</v>
      </c>
      <c r="B220" t="s">
        <v>789</v>
      </c>
      <c r="C220" t="s">
        <v>19</v>
      </c>
      <c r="D220" t="s">
        <v>20</v>
      </c>
      <c r="E220" t="s">
        <v>21</v>
      </c>
      <c r="F220" t="s">
        <v>62</v>
      </c>
      <c r="G220">
        <v>63101</v>
      </c>
      <c r="H220">
        <v>54</v>
      </c>
      <c r="I220">
        <v>31</v>
      </c>
      <c r="J220" s="4">
        <f>MAX(Inventory[[#This Row],[Qty On Hand]]-Inventory[[#This Row],[Qty Allocated]],0)</f>
        <v>23</v>
      </c>
      <c r="K220">
        <v>341</v>
      </c>
      <c r="L220" t="s">
        <v>885</v>
      </c>
      <c r="M220" t="s">
        <v>886</v>
      </c>
      <c r="N220" t="s">
        <v>887</v>
      </c>
      <c r="O220" t="s">
        <v>26</v>
      </c>
      <c r="P220" t="s">
        <v>317</v>
      </c>
      <c r="Q220" t="s">
        <v>34</v>
      </c>
    </row>
    <row r="221" spans="1:17" x14ac:dyDescent="0.25">
      <c r="A221" t="s">
        <v>855</v>
      </c>
      <c r="B221" t="s">
        <v>789</v>
      </c>
      <c r="C221" t="s">
        <v>19</v>
      </c>
      <c r="D221" t="s">
        <v>20</v>
      </c>
      <c r="E221" t="s">
        <v>21</v>
      </c>
      <c r="F221" t="s">
        <v>62</v>
      </c>
      <c r="G221">
        <v>63101</v>
      </c>
      <c r="H221">
        <v>136</v>
      </c>
      <c r="I221">
        <v>83</v>
      </c>
      <c r="J221" s="4">
        <f>MAX(Inventory[[#This Row],[Qty On Hand]]-Inventory[[#This Row],[Qty Allocated]],0)</f>
        <v>53</v>
      </c>
      <c r="K221">
        <v>172</v>
      </c>
      <c r="L221" t="s">
        <v>888</v>
      </c>
      <c r="M221" t="s">
        <v>889</v>
      </c>
      <c r="N221" t="s">
        <v>890</v>
      </c>
      <c r="O221" t="s">
        <v>26</v>
      </c>
      <c r="P221" t="s">
        <v>891</v>
      </c>
      <c r="Q221" t="s">
        <v>40</v>
      </c>
    </row>
    <row r="222" spans="1:17" x14ac:dyDescent="0.25">
      <c r="A222" t="s">
        <v>855</v>
      </c>
      <c r="B222" t="s">
        <v>789</v>
      </c>
      <c r="C222" t="s">
        <v>19</v>
      </c>
      <c r="D222" t="s">
        <v>20</v>
      </c>
      <c r="E222" t="s">
        <v>21</v>
      </c>
      <c r="F222" t="s">
        <v>62</v>
      </c>
      <c r="G222">
        <v>63101</v>
      </c>
      <c r="H222">
        <v>152</v>
      </c>
      <c r="I222">
        <v>17</v>
      </c>
      <c r="J222" s="4">
        <f>MAX(Inventory[[#This Row],[Qty On Hand]]-Inventory[[#This Row],[Qty Allocated]],0)</f>
        <v>135</v>
      </c>
      <c r="K222">
        <v>180</v>
      </c>
      <c r="L222" t="s">
        <v>123</v>
      </c>
      <c r="M222" t="s">
        <v>892</v>
      </c>
      <c r="N222" t="s">
        <v>893</v>
      </c>
      <c r="O222" t="s">
        <v>26</v>
      </c>
      <c r="P222" t="s">
        <v>894</v>
      </c>
      <c r="Q222" t="s">
        <v>40</v>
      </c>
    </row>
    <row r="223" spans="1:17" x14ac:dyDescent="0.25">
      <c r="A223" t="s">
        <v>855</v>
      </c>
      <c r="B223" t="s">
        <v>789</v>
      </c>
      <c r="C223" t="s">
        <v>19</v>
      </c>
      <c r="D223" t="s">
        <v>20</v>
      </c>
      <c r="E223" t="s">
        <v>21</v>
      </c>
      <c r="F223" t="s">
        <v>62</v>
      </c>
      <c r="G223">
        <v>63101</v>
      </c>
      <c r="H223">
        <v>144</v>
      </c>
      <c r="I223">
        <v>71</v>
      </c>
      <c r="J223" s="4">
        <f>MAX(Inventory[[#This Row],[Qty On Hand]]-Inventory[[#This Row],[Qty Allocated]],0)</f>
        <v>73</v>
      </c>
      <c r="K223">
        <v>158</v>
      </c>
      <c r="L223" t="s">
        <v>895</v>
      </c>
      <c r="M223" t="s">
        <v>896</v>
      </c>
      <c r="N223" t="s">
        <v>897</v>
      </c>
      <c r="O223" t="s">
        <v>48</v>
      </c>
      <c r="P223" t="s">
        <v>898</v>
      </c>
      <c r="Q223" t="s">
        <v>40</v>
      </c>
    </row>
    <row r="224" spans="1:17" x14ac:dyDescent="0.25">
      <c r="A224" t="s">
        <v>855</v>
      </c>
      <c r="B224" t="s">
        <v>789</v>
      </c>
      <c r="C224" t="s">
        <v>19</v>
      </c>
      <c r="D224" t="s">
        <v>20</v>
      </c>
      <c r="E224" t="s">
        <v>21</v>
      </c>
      <c r="F224" t="s">
        <v>83</v>
      </c>
      <c r="G224">
        <v>28202</v>
      </c>
      <c r="H224">
        <v>114</v>
      </c>
      <c r="I224">
        <v>0</v>
      </c>
      <c r="J224" s="4">
        <f>MAX(Inventory[[#This Row],[Qty On Hand]]-Inventory[[#This Row],[Qty Allocated]],0)</f>
        <v>114</v>
      </c>
      <c r="K224">
        <v>199</v>
      </c>
      <c r="L224" t="s">
        <v>899</v>
      </c>
      <c r="M224" t="s">
        <v>900</v>
      </c>
      <c r="N224" t="s">
        <v>901</v>
      </c>
      <c r="O224" t="s">
        <v>48</v>
      </c>
      <c r="P224" t="s">
        <v>902</v>
      </c>
      <c r="Q224" t="s">
        <v>28</v>
      </c>
    </row>
    <row r="225" spans="1:17" x14ac:dyDescent="0.25">
      <c r="A225" t="s">
        <v>855</v>
      </c>
      <c r="B225" t="s">
        <v>789</v>
      </c>
      <c r="C225" t="s">
        <v>19</v>
      </c>
      <c r="D225" t="s">
        <v>20</v>
      </c>
      <c r="E225" t="s">
        <v>21</v>
      </c>
      <c r="F225" t="s">
        <v>83</v>
      </c>
      <c r="G225">
        <v>28202</v>
      </c>
      <c r="H225">
        <v>141</v>
      </c>
      <c r="I225">
        <v>31</v>
      </c>
      <c r="J225" s="4">
        <f>MAX(Inventory[[#This Row],[Qty On Hand]]-Inventory[[#This Row],[Qty Allocated]],0)</f>
        <v>110</v>
      </c>
      <c r="K225">
        <v>130</v>
      </c>
      <c r="L225" t="s">
        <v>903</v>
      </c>
      <c r="M225" t="s">
        <v>904</v>
      </c>
      <c r="N225" t="s">
        <v>905</v>
      </c>
      <c r="O225" t="s">
        <v>26</v>
      </c>
      <c r="P225" t="s">
        <v>906</v>
      </c>
      <c r="Q225" t="s">
        <v>40</v>
      </c>
    </row>
    <row r="226" spans="1:17" x14ac:dyDescent="0.25">
      <c r="A226" t="s">
        <v>855</v>
      </c>
      <c r="B226" t="s">
        <v>789</v>
      </c>
      <c r="C226" t="s">
        <v>19</v>
      </c>
      <c r="D226" t="s">
        <v>20</v>
      </c>
      <c r="E226" t="s">
        <v>21</v>
      </c>
      <c r="F226" t="s">
        <v>83</v>
      </c>
      <c r="G226">
        <v>28202</v>
      </c>
      <c r="H226">
        <v>146</v>
      </c>
      <c r="I226">
        <v>80</v>
      </c>
      <c r="J226" s="4">
        <f>MAX(Inventory[[#This Row],[Qty On Hand]]-Inventory[[#This Row],[Qty Allocated]],0)</f>
        <v>66</v>
      </c>
      <c r="K226">
        <v>179</v>
      </c>
      <c r="L226" t="s">
        <v>907</v>
      </c>
      <c r="M226" t="s">
        <v>908</v>
      </c>
      <c r="N226" t="s">
        <v>909</v>
      </c>
      <c r="O226" t="s">
        <v>26</v>
      </c>
      <c r="P226" t="s">
        <v>779</v>
      </c>
      <c r="Q226" t="s">
        <v>40</v>
      </c>
    </row>
    <row r="227" spans="1:17" x14ac:dyDescent="0.25">
      <c r="A227" t="s">
        <v>855</v>
      </c>
      <c r="B227" t="s">
        <v>789</v>
      </c>
      <c r="C227" t="s">
        <v>19</v>
      </c>
      <c r="D227" t="s">
        <v>20</v>
      </c>
      <c r="E227" t="s">
        <v>21</v>
      </c>
      <c r="F227" t="s">
        <v>83</v>
      </c>
      <c r="G227">
        <v>28202</v>
      </c>
      <c r="H227">
        <v>107</v>
      </c>
      <c r="I227">
        <v>86</v>
      </c>
      <c r="J227" s="4">
        <f>MAX(Inventory[[#This Row],[Qty On Hand]]-Inventory[[#This Row],[Qty Allocated]],0)</f>
        <v>21</v>
      </c>
      <c r="K227">
        <v>127</v>
      </c>
      <c r="L227" t="s">
        <v>910</v>
      </c>
      <c r="M227" t="s">
        <v>911</v>
      </c>
      <c r="N227" t="s">
        <v>912</v>
      </c>
      <c r="O227" t="s">
        <v>26</v>
      </c>
      <c r="P227" t="s">
        <v>913</v>
      </c>
      <c r="Q227" t="s">
        <v>28</v>
      </c>
    </row>
    <row r="228" spans="1:17" x14ac:dyDescent="0.25">
      <c r="A228" t="s">
        <v>855</v>
      </c>
      <c r="B228" t="s">
        <v>789</v>
      </c>
      <c r="C228" t="s">
        <v>19</v>
      </c>
      <c r="D228" t="s">
        <v>20</v>
      </c>
      <c r="E228" t="s">
        <v>21</v>
      </c>
      <c r="F228" t="s">
        <v>83</v>
      </c>
      <c r="G228">
        <v>28202</v>
      </c>
      <c r="H228">
        <v>177</v>
      </c>
      <c r="I228">
        <v>54</v>
      </c>
      <c r="J228" s="4">
        <f>MAX(Inventory[[#This Row],[Qty On Hand]]-Inventory[[#This Row],[Qty Allocated]],0)</f>
        <v>123</v>
      </c>
      <c r="K228">
        <v>228</v>
      </c>
      <c r="L228" t="s">
        <v>914</v>
      </c>
      <c r="M228" t="s">
        <v>915</v>
      </c>
      <c r="N228" t="s">
        <v>916</v>
      </c>
      <c r="O228" t="s">
        <v>26</v>
      </c>
      <c r="P228" t="s">
        <v>917</v>
      </c>
      <c r="Q228" t="s">
        <v>40</v>
      </c>
    </row>
    <row r="229" spans="1:17" x14ac:dyDescent="0.25">
      <c r="A229" t="s">
        <v>855</v>
      </c>
      <c r="B229" t="s">
        <v>789</v>
      </c>
      <c r="C229" t="s">
        <v>19</v>
      </c>
      <c r="D229" t="s">
        <v>20</v>
      </c>
      <c r="E229" t="s">
        <v>21</v>
      </c>
      <c r="F229" t="s">
        <v>83</v>
      </c>
      <c r="G229">
        <v>28202</v>
      </c>
      <c r="H229">
        <v>194</v>
      </c>
      <c r="I229">
        <v>32</v>
      </c>
      <c r="J229" s="4">
        <f>MAX(Inventory[[#This Row],[Qty On Hand]]-Inventory[[#This Row],[Qty Allocated]],0)</f>
        <v>162</v>
      </c>
      <c r="K229">
        <v>290</v>
      </c>
      <c r="L229" t="s">
        <v>776</v>
      </c>
      <c r="M229" t="s">
        <v>918</v>
      </c>
      <c r="N229" t="s">
        <v>919</v>
      </c>
      <c r="O229" t="s">
        <v>48</v>
      </c>
      <c r="P229" t="s">
        <v>920</v>
      </c>
      <c r="Q229" t="s">
        <v>34</v>
      </c>
    </row>
    <row r="230" spans="1:17" x14ac:dyDescent="0.25">
      <c r="A230" t="s">
        <v>921</v>
      </c>
      <c r="B230" t="s">
        <v>789</v>
      </c>
      <c r="C230" t="s">
        <v>19</v>
      </c>
      <c r="D230" t="s">
        <v>20</v>
      </c>
      <c r="E230" t="s">
        <v>122</v>
      </c>
      <c r="F230" t="s">
        <v>22</v>
      </c>
      <c r="G230">
        <v>94102</v>
      </c>
      <c r="H230">
        <v>5</v>
      </c>
      <c r="I230">
        <v>2</v>
      </c>
      <c r="J230" s="4">
        <f>MAX(Inventory[[#This Row],[Qty On Hand]]-Inventory[[#This Row],[Qty Allocated]],0)</f>
        <v>3</v>
      </c>
      <c r="K230">
        <v>395</v>
      </c>
      <c r="L230" t="s">
        <v>922</v>
      </c>
      <c r="M230" t="s">
        <v>923</v>
      </c>
      <c r="N230" t="s">
        <v>924</v>
      </c>
      <c r="O230" t="s">
        <v>26</v>
      </c>
      <c r="P230" t="s">
        <v>925</v>
      </c>
      <c r="Q230" t="s">
        <v>34</v>
      </c>
    </row>
    <row r="231" spans="1:17" x14ac:dyDescent="0.25">
      <c r="A231" t="s">
        <v>921</v>
      </c>
      <c r="B231" t="s">
        <v>789</v>
      </c>
      <c r="C231" t="s">
        <v>19</v>
      </c>
      <c r="D231" t="s">
        <v>20</v>
      </c>
      <c r="E231" t="s">
        <v>122</v>
      </c>
      <c r="F231" t="s">
        <v>35</v>
      </c>
      <c r="G231">
        <v>75201</v>
      </c>
      <c r="H231">
        <v>149</v>
      </c>
      <c r="I231">
        <v>59</v>
      </c>
      <c r="J231" s="4">
        <f>MAX(Inventory[[#This Row],[Qty On Hand]]-Inventory[[#This Row],[Qty Allocated]],0)</f>
        <v>90</v>
      </c>
      <c r="K231">
        <v>328</v>
      </c>
      <c r="L231" t="s">
        <v>926</v>
      </c>
      <c r="M231" t="s">
        <v>927</v>
      </c>
      <c r="N231" t="s">
        <v>928</v>
      </c>
      <c r="O231" t="s">
        <v>26</v>
      </c>
      <c r="P231" t="s">
        <v>929</v>
      </c>
      <c r="Q231" t="s">
        <v>34</v>
      </c>
    </row>
    <row r="232" spans="1:17" x14ac:dyDescent="0.25">
      <c r="A232" t="s">
        <v>921</v>
      </c>
      <c r="B232" t="s">
        <v>789</v>
      </c>
      <c r="C232" t="s">
        <v>19</v>
      </c>
      <c r="D232" t="s">
        <v>20</v>
      </c>
      <c r="E232" t="s">
        <v>122</v>
      </c>
      <c r="F232" t="s">
        <v>35</v>
      </c>
      <c r="G232">
        <v>75201</v>
      </c>
      <c r="H232">
        <v>150</v>
      </c>
      <c r="I232">
        <v>17</v>
      </c>
      <c r="J232" s="4">
        <f>MAX(Inventory[[#This Row],[Qty On Hand]]-Inventory[[#This Row],[Qty Allocated]],0)</f>
        <v>133</v>
      </c>
      <c r="K232">
        <v>196</v>
      </c>
      <c r="L232" t="s">
        <v>930</v>
      </c>
      <c r="M232" t="s">
        <v>931</v>
      </c>
      <c r="N232" t="s">
        <v>590</v>
      </c>
      <c r="O232" t="s">
        <v>26</v>
      </c>
      <c r="P232" t="s">
        <v>932</v>
      </c>
      <c r="Q232" t="s">
        <v>34</v>
      </c>
    </row>
    <row r="233" spans="1:17" x14ac:dyDescent="0.25">
      <c r="A233" t="s">
        <v>921</v>
      </c>
      <c r="B233" t="s">
        <v>789</v>
      </c>
      <c r="C233" t="s">
        <v>19</v>
      </c>
      <c r="D233" t="s">
        <v>20</v>
      </c>
      <c r="E233" t="s">
        <v>122</v>
      </c>
      <c r="F233" t="s">
        <v>35</v>
      </c>
      <c r="G233">
        <v>75201</v>
      </c>
      <c r="H233">
        <v>147</v>
      </c>
      <c r="I233">
        <v>46</v>
      </c>
      <c r="J233" s="4">
        <f>MAX(Inventory[[#This Row],[Qty On Hand]]-Inventory[[#This Row],[Qty Allocated]],0)</f>
        <v>101</v>
      </c>
      <c r="K233">
        <v>287</v>
      </c>
      <c r="L233" t="s">
        <v>337</v>
      </c>
      <c r="M233" t="s">
        <v>933</v>
      </c>
      <c r="N233" t="s">
        <v>934</v>
      </c>
      <c r="O233" t="s">
        <v>48</v>
      </c>
      <c r="P233" t="s">
        <v>935</v>
      </c>
      <c r="Q233" t="s">
        <v>28</v>
      </c>
    </row>
    <row r="234" spans="1:17" x14ac:dyDescent="0.25">
      <c r="A234" t="s">
        <v>921</v>
      </c>
      <c r="B234" t="s">
        <v>789</v>
      </c>
      <c r="C234" t="s">
        <v>19</v>
      </c>
      <c r="D234" t="s">
        <v>20</v>
      </c>
      <c r="E234" t="s">
        <v>122</v>
      </c>
      <c r="F234" t="s">
        <v>62</v>
      </c>
      <c r="G234">
        <v>63101</v>
      </c>
      <c r="H234">
        <v>134</v>
      </c>
      <c r="I234">
        <v>42</v>
      </c>
      <c r="J234" s="4">
        <f>MAX(Inventory[[#This Row],[Qty On Hand]]-Inventory[[#This Row],[Qty Allocated]],0)</f>
        <v>92</v>
      </c>
      <c r="K234">
        <v>184</v>
      </c>
      <c r="L234" t="s">
        <v>550</v>
      </c>
      <c r="M234" t="s">
        <v>936</v>
      </c>
      <c r="N234" t="s">
        <v>937</v>
      </c>
      <c r="O234" t="s">
        <v>26</v>
      </c>
      <c r="P234" t="s">
        <v>309</v>
      </c>
      <c r="Q234" t="s">
        <v>92</v>
      </c>
    </row>
    <row r="235" spans="1:17" x14ac:dyDescent="0.25">
      <c r="A235" t="s">
        <v>921</v>
      </c>
      <c r="B235" t="s">
        <v>789</v>
      </c>
      <c r="C235" t="s">
        <v>19</v>
      </c>
      <c r="D235" t="s">
        <v>20</v>
      </c>
      <c r="E235" t="s">
        <v>122</v>
      </c>
      <c r="F235" t="s">
        <v>62</v>
      </c>
      <c r="G235">
        <v>63101</v>
      </c>
      <c r="H235">
        <v>152</v>
      </c>
      <c r="I235">
        <v>14</v>
      </c>
      <c r="J235" s="4">
        <f>MAX(Inventory[[#This Row],[Qty On Hand]]-Inventory[[#This Row],[Qty Allocated]],0)</f>
        <v>138</v>
      </c>
      <c r="K235">
        <v>245</v>
      </c>
      <c r="L235" t="s">
        <v>938</v>
      </c>
      <c r="M235" t="s">
        <v>939</v>
      </c>
      <c r="N235" t="s">
        <v>940</v>
      </c>
      <c r="O235" t="s">
        <v>48</v>
      </c>
      <c r="P235" t="s">
        <v>941</v>
      </c>
      <c r="Q235" t="s">
        <v>28</v>
      </c>
    </row>
    <row r="236" spans="1:17" x14ac:dyDescent="0.25">
      <c r="A236" t="s">
        <v>921</v>
      </c>
      <c r="B236" t="s">
        <v>789</v>
      </c>
      <c r="C236" t="s">
        <v>19</v>
      </c>
      <c r="D236" t="s">
        <v>20</v>
      </c>
      <c r="E236" t="s">
        <v>122</v>
      </c>
      <c r="F236" t="s">
        <v>62</v>
      </c>
      <c r="G236">
        <v>63101</v>
      </c>
      <c r="H236">
        <v>63</v>
      </c>
      <c r="I236">
        <v>55</v>
      </c>
      <c r="J236" s="4">
        <f>MAX(Inventory[[#This Row],[Qty On Hand]]-Inventory[[#This Row],[Qty Allocated]],0)</f>
        <v>8</v>
      </c>
      <c r="K236">
        <v>385</v>
      </c>
      <c r="L236" t="s">
        <v>942</v>
      </c>
      <c r="M236" t="s">
        <v>943</v>
      </c>
      <c r="N236" t="s">
        <v>944</v>
      </c>
      <c r="O236" t="s">
        <v>26</v>
      </c>
      <c r="P236" t="s">
        <v>945</v>
      </c>
      <c r="Q236" t="s">
        <v>40</v>
      </c>
    </row>
    <row r="237" spans="1:17" x14ac:dyDescent="0.25">
      <c r="A237" t="s">
        <v>921</v>
      </c>
      <c r="B237" t="s">
        <v>789</v>
      </c>
      <c r="C237" t="s">
        <v>19</v>
      </c>
      <c r="D237" t="s">
        <v>20</v>
      </c>
      <c r="E237" t="s">
        <v>122</v>
      </c>
      <c r="F237" t="s">
        <v>83</v>
      </c>
      <c r="G237">
        <v>28202</v>
      </c>
      <c r="H237">
        <v>122</v>
      </c>
      <c r="I237">
        <v>61</v>
      </c>
      <c r="J237" s="4">
        <f>MAX(Inventory[[#This Row],[Qty On Hand]]-Inventory[[#This Row],[Qty Allocated]],0)</f>
        <v>61</v>
      </c>
      <c r="K237">
        <v>179</v>
      </c>
      <c r="L237" t="s">
        <v>946</v>
      </c>
      <c r="M237" t="s">
        <v>947</v>
      </c>
      <c r="N237" t="s">
        <v>948</v>
      </c>
      <c r="O237" t="s">
        <v>26</v>
      </c>
      <c r="P237" t="s">
        <v>949</v>
      </c>
      <c r="Q237" t="s">
        <v>92</v>
      </c>
    </row>
    <row r="238" spans="1:17" x14ac:dyDescent="0.25">
      <c r="A238" t="s">
        <v>921</v>
      </c>
      <c r="B238" t="s">
        <v>789</v>
      </c>
      <c r="C238" t="s">
        <v>19</v>
      </c>
      <c r="D238" t="s">
        <v>20</v>
      </c>
      <c r="E238" t="s">
        <v>122</v>
      </c>
      <c r="F238" t="s">
        <v>83</v>
      </c>
      <c r="G238">
        <v>28202</v>
      </c>
      <c r="H238">
        <v>157</v>
      </c>
      <c r="I238">
        <v>76</v>
      </c>
      <c r="J238" s="4">
        <f>MAX(Inventory[[#This Row],[Qty On Hand]]-Inventory[[#This Row],[Qty Allocated]],0)</f>
        <v>81</v>
      </c>
      <c r="K238">
        <v>131</v>
      </c>
      <c r="L238" t="s">
        <v>950</v>
      </c>
      <c r="M238" t="s">
        <v>951</v>
      </c>
      <c r="N238" t="s">
        <v>952</v>
      </c>
      <c r="O238" t="s">
        <v>26</v>
      </c>
      <c r="P238" t="s">
        <v>953</v>
      </c>
      <c r="Q238" t="s">
        <v>34</v>
      </c>
    </row>
    <row r="239" spans="1:17" x14ac:dyDescent="0.25">
      <c r="A239" t="s">
        <v>921</v>
      </c>
      <c r="B239" t="s">
        <v>789</v>
      </c>
      <c r="C239" t="s">
        <v>19</v>
      </c>
      <c r="D239" t="s">
        <v>20</v>
      </c>
      <c r="E239" t="s">
        <v>122</v>
      </c>
      <c r="F239" t="s">
        <v>83</v>
      </c>
      <c r="G239">
        <v>28202</v>
      </c>
      <c r="H239">
        <v>155</v>
      </c>
      <c r="I239">
        <v>53</v>
      </c>
      <c r="J239" s="4">
        <f>MAX(Inventory[[#This Row],[Qty On Hand]]-Inventory[[#This Row],[Qty Allocated]],0)</f>
        <v>102</v>
      </c>
      <c r="K239">
        <v>248</v>
      </c>
      <c r="L239" t="s">
        <v>954</v>
      </c>
      <c r="M239" t="s">
        <v>955</v>
      </c>
      <c r="N239" t="s">
        <v>956</v>
      </c>
      <c r="O239" t="s">
        <v>26</v>
      </c>
      <c r="P239" t="s">
        <v>957</v>
      </c>
      <c r="Q239" t="s">
        <v>34</v>
      </c>
    </row>
    <row r="240" spans="1:17" x14ac:dyDescent="0.25">
      <c r="A240" t="s">
        <v>921</v>
      </c>
      <c r="B240" t="s">
        <v>789</v>
      </c>
      <c r="C240" t="s">
        <v>19</v>
      </c>
      <c r="D240" t="s">
        <v>20</v>
      </c>
      <c r="E240" t="s">
        <v>122</v>
      </c>
      <c r="F240" t="s">
        <v>83</v>
      </c>
      <c r="G240">
        <v>28202</v>
      </c>
      <c r="H240">
        <v>91</v>
      </c>
      <c r="I240">
        <v>75</v>
      </c>
      <c r="J240" s="4">
        <f>MAX(Inventory[[#This Row],[Qty On Hand]]-Inventory[[#This Row],[Qty Allocated]],0)</f>
        <v>16</v>
      </c>
      <c r="K240">
        <v>319</v>
      </c>
      <c r="L240" t="s">
        <v>958</v>
      </c>
      <c r="M240" t="s">
        <v>959</v>
      </c>
      <c r="N240" t="s">
        <v>214</v>
      </c>
      <c r="O240" t="s">
        <v>26</v>
      </c>
      <c r="P240" t="s">
        <v>960</v>
      </c>
      <c r="Q240" t="s">
        <v>40</v>
      </c>
    </row>
    <row r="241" spans="1:17" x14ac:dyDescent="0.25">
      <c r="A241" t="s">
        <v>961</v>
      </c>
      <c r="B241" t="s">
        <v>789</v>
      </c>
      <c r="C241" t="s">
        <v>19</v>
      </c>
      <c r="D241" t="s">
        <v>20</v>
      </c>
      <c r="E241" t="s">
        <v>790</v>
      </c>
      <c r="F241" t="s">
        <v>62</v>
      </c>
      <c r="G241">
        <v>63101</v>
      </c>
      <c r="H241">
        <v>159</v>
      </c>
      <c r="I241">
        <v>7</v>
      </c>
      <c r="J241" s="4">
        <f>MAX(Inventory[[#This Row],[Qty On Hand]]-Inventory[[#This Row],[Qty Allocated]],0)</f>
        <v>152</v>
      </c>
      <c r="K241">
        <v>213</v>
      </c>
      <c r="L241" t="s">
        <v>962</v>
      </c>
      <c r="M241" t="s">
        <v>963</v>
      </c>
      <c r="N241" t="s">
        <v>964</v>
      </c>
      <c r="O241" t="s">
        <v>26</v>
      </c>
      <c r="P241" t="s">
        <v>965</v>
      </c>
      <c r="Q241" t="s">
        <v>34</v>
      </c>
    </row>
    <row r="242" spans="1:17" x14ac:dyDescent="0.25">
      <c r="A242" t="s">
        <v>961</v>
      </c>
      <c r="B242" t="s">
        <v>789</v>
      </c>
      <c r="C242" t="s">
        <v>19</v>
      </c>
      <c r="D242" t="s">
        <v>20</v>
      </c>
      <c r="E242" t="s">
        <v>790</v>
      </c>
      <c r="F242" t="s">
        <v>35</v>
      </c>
      <c r="G242">
        <v>75201</v>
      </c>
      <c r="H242">
        <v>70</v>
      </c>
      <c r="I242">
        <v>4</v>
      </c>
      <c r="J242" s="4">
        <f>MAX(Inventory[[#This Row],[Qty On Hand]]-Inventory[[#This Row],[Qty Allocated]],0)</f>
        <v>66</v>
      </c>
      <c r="K242">
        <v>368</v>
      </c>
      <c r="L242" t="s">
        <v>966</v>
      </c>
      <c r="M242" t="s">
        <v>967</v>
      </c>
      <c r="N242" t="s">
        <v>485</v>
      </c>
      <c r="O242" t="s">
        <v>26</v>
      </c>
      <c r="P242" t="s">
        <v>968</v>
      </c>
      <c r="Q242" t="s">
        <v>28</v>
      </c>
    </row>
    <row r="243" spans="1:17" x14ac:dyDescent="0.25">
      <c r="A243" t="s">
        <v>961</v>
      </c>
      <c r="B243" t="s">
        <v>789</v>
      </c>
      <c r="C243" t="s">
        <v>19</v>
      </c>
      <c r="D243" t="s">
        <v>20</v>
      </c>
      <c r="E243" t="s">
        <v>790</v>
      </c>
      <c r="F243" t="s">
        <v>29</v>
      </c>
      <c r="G243">
        <v>98072</v>
      </c>
      <c r="H243">
        <v>176</v>
      </c>
      <c r="I243">
        <v>4</v>
      </c>
      <c r="J243" s="4">
        <f>MAX(Inventory[[#This Row],[Qty On Hand]]-Inventory[[#This Row],[Qty Allocated]],0)</f>
        <v>172</v>
      </c>
      <c r="K243">
        <v>274</v>
      </c>
      <c r="L243" t="s">
        <v>969</v>
      </c>
      <c r="M243" t="s">
        <v>970</v>
      </c>
      <c r="N243" t="s">
        <v>971</v>
      </c>
      <c r="O243" t="s">
        <v>26</v>
      </c>
      <c r="P243" t="s">
        <v>972</v>
      </c>
      <c r="Q243" t="s">
        <v>92</v>
      </c>
    </row>
    <row r="244" spans="1:17" x14ac:dyDescent="0.25">
      <c r="A244" t="s">
        <v>973</v>
      </c>
      <c r="B244" t="s">
        <v>789</v>
      </c>
      <c r="C244" t="s">
        <v>19</v>
      </c>
      <c r="D244" t="s">
        <v>20</v>
      </c>
      <c r="E244" t="s">
        <v>804</v>
      </c>
      <c r="F244" t="s">
        <v>62</v>
      </c>
      <c r="G244">
        <v>63101</v>
      </c>
      <c r="H244">
        <v>172</v>
      </c>
      <c r="I244">
        <v>7</v>
      </c>
      <c r="J244" s="4">
        <f>MAX(Inventory[[#This Row],[Qty On Hand]]-Inventory[[#This Row],[Qty Allocated]],0)</f>
        <v>165</v>
      </c>
      <c r="K244">
        <v>277</v>
      </c>
      <c r="L244" t="s">
        <v>974</v>
      </c>
      <c r="M244" t="s">
        <v>975</v>
      </c>
      <c r="N244" t="s">
        <v>291</v>
      </c>
      <c r="O244" t="s">
        <v>26</v>
      </c>
      <c r="P244" t="s">
        <v>227</v>
      </c>
      <c r="Q244" t="s">
        <v>92</v>
      </c>
    </row>
    <row r="245" spans="1:17" x14ac:dyDescent="0.25">
      <c r="A245" t="s">
        <v>973</v>
      </c>
      <c r="B245" t="s">
        <v>789</v>
      </c>
      <c r="C245" t="s">
        <v>19</v>
      </c>
      <c r="D245" t="s">
        <v>20</v>
      </c>
      <c r="E245" t="s">
        <v>804</v>
      </c>
      <c r="F245" t="s">
        <v>35</v>
      </c>
      <c r="G245">
        <v>75201</v>
      </c>
      <c r="H245">
        <v>191</v>
      </c>
      <c r="I245">
        <v>5</v>
      </c>
      <c r="J245" s="4">
        <f>MAX(Inventory[[#This Row],[Qty On Hand]]-Inventory[[#This Row],[Qty Allocated]],0)</f>
        <v>186</v>
      </c>
      <c r="K245">
        <v>258</v>
      </c>
      <c r="L245" t="s">
        <v>976</v>
      </c>
      <c r="M245" t="s">
        <v>977</v>
      </c>
      <c r="N245" t="s">
        <v>481</v>
      </c>
      <c r="O245" t="s">
        <v>26</v>
      </c>
      <c r="P245" t="s">
        <v>978</v>
      </c>
      <c r="Q245" t="s">
        <v>92</v>
      </c>
    </row>
    <row r="246" spans="1:17" x14ac:dyDescent="0.25">
      <c r="A246" t="s">
        <v>973</v>
      </c>
      <c r="B246" t="s">
        <v>789</v>
      </c>
      <c r="C246" t="s">
        <v>19</v>
      </c>
      <c r="D246" t="s">
        <v>20</v>
      </c>
      <c r="E246" t="s">
        <v>804</v>
      </c>
      <c r="F246" t="s">
        <v>29</v>
      </c>
      <c r="G246">
        <v>98072</v>
      </c>
      <c r="H246">
        <v>156</v>
      </c>
      <c r="I246">
        <v>6</v>
      </c>
      <c r="J246" s="4">
        <f>MAX(Inventory[[#This Row],[Qty On Hand]]-Inventory[[#This Row],[Qty Allocated]],0)</f>
        <v>150</v>
      </c>
      <c r="K246">
        <v>335</v>
      </c>
      <c r="L246" t="s">
        <v>979</v>
      </c>
      <c r="M246" t="s">
        <v>980</v>
      </c>
      <c r="N246" t="s">
        <v>782</v>
      </c>
      <c r="O246" t="s">
        <v>26</v>
      </c>
      <c r="P246" t="s">
        <v>659</v>
      </c>
      <c r="Q246" t="s">
        <v>40</v>
      </c>
    </row>
    <row r="247" spans="1:17" x14ac:dyDescent="0.25">
      <c r="A247" t="s">
        <v>981</v>
      </c>
      <c r="B247" t="s">
        <v>789</v>
      </c>
      <c r="C247" t="s">
        <v>19</v>
      </c>
      <c r="D247" t="s">
        <v>20</v>
      </c>
      <c r="E247" t="s">
        <v>817</v>
      </c>
      <c r="F247" t="s">
        <v>62</v>
      </c>
      <c r="G247">
        <v>63101</v>
      </c>
      <c r="H247">
        <v>121</v>
      </c>
      <c r="I247">
        <v>3</v>
      </c>
      <c r="J247" s="4">
        <f>MAX(Inventory[[#This Row],[Qty On Hand]]-Inventory[[#This Row],[Qty Allocated]],0)</f>
        <v>118</v>
      </c>
      <c r="K247">
        <v>301</v>
      </c>
      <c r="L247" t="s">
        <v>982</v>
      </c>
      <c r="M247" t="s">
        <v>983</v>
      </c>
      <c r="N247" t="s">
        <v>984</v>
      </c>
      <c r="O247" t="s">
        <v>26</v>
      </c>
      <c r="P247" t="s">
        <v>779</v>
      </c>
      <c r="Q247" t="s">
        <v>28</v>
      </c>
    </row>
    <row r="248" spans="1:17" x14ac:dyDescent="0.25">
      <c r="A248" t="s">
        <v>981</v>
      </c>
      <c r="B248" t="s">
        <v>789</v>
      </c>
      <c r="C248" t="s">
        <v>19</v>
      </c>
      <c r="D248" t="s">
        <v>20</v>
      </c>
      <c r="E248" t="s">
        <v>817</v>
      </c>
      <c r="F248" t="s">
        <v>35</v>
      </c>
      <c r="G248">
        <v>75201</v>
      </c>
      <c r="H248">
        <v>108</v>
      </c>
      <c r="I248">
        <v>7</v>
      </c>
      <c r="J248" s="4">
        <f>MAX(Inventory[[#This Row],[Qty On Hand]]-Inventory[[#This Row],[Qty Allocated]],0)</f>
        <v>101</v>
      </c>
      <c r="K248">
        <v>348</v>
      </c>
      <c r="L248" t="s">
        <v>985</v>
      </c>
      <c r="M248" t="s">
        <v>986</v>
      </c>
      <c r="N248" t="s">
        <v>987</v>
      </c>
      <c r="O248" t="s">
        <v>26</v>
      </c>
      <c r="P248" t="s">
        <v>988</v>
      </c>
      <c r="Q248" t="s">
        <v>40</v>
      </c>
    </row>
    <row r="249" spans="1:17" x14ac:dyDescent="0.25">
      <c r="A249" t="s">
        <v>981</v>
      </c>
      <c r="B249" t="s">
        <v>789</v>
      </c>
      <c r="C249" t="s">
        <v>19</v>
      </c>
      <c r="D249" t="s">
        <v>20</v>
      </c>
      <c r="E249" t="s">
        <v>817</v>
      </c>
      <c r="F249" t="s">
        <v>29</v>
      </c>
      <c r="G249">
        <v>98072</v>
      </c>
      <c r="H249">
        <v>176</v>
      </c>
      <c r="I249">
        <v>6</v>
      </c>
      <c r="J249" s="4">
        <f>MAX(Inventory[[#This Row],[Qty On Hand]]-Inventory[[#This Row],[Qty Allocated]],0)</f>
        <v>170</v>
      </c>
      <c r="K249">
        <v>284</v>
      </c>
      <c r="L249" t="s">
        <v>989</v>
      </c>
      <c r="M249" t="s">
        <v>990</v>
      </c>
      <c r="N249" t="s">
        <v>991</v>
      </c>
      <c r="O249" t="s">
        <v>26</v>
      </c>
      <c r="P249" t="s">
        <v>992</v>
      </c>
      <c r="Q249" t="s">
        <v>40</v>
      </c>
    </row>
    <row r="250" spans="1:17" x14ac:dyDescent="0.25">
      <c r="A250" t="s">
        <v>993</v>
      </c>
      <c r="B250" t="s">
        <v>789</v>
      </c>
      <c r="C250" t="s">
        <v>19</v>
      </c>
      <c r="D250" t="s">
        <v>20</v>
      </c>
      <c r="E250" t="s">
        <v>171</v>
      </c>
      <c r="F250" t="s">
        <v>22</v>
      </c>
      <c r="G250">
        <v>94102</v>
      </c>
      <c r="H250">
        <v>4</v>
      </c>
      <c r="I250">
        <v>2</v>
      </c>
      <c r="J250" s="4">
        <f>MAX(Inventory[[#This Row],[Qty On Hand]]-Inventory[[#This Row],[Qty Allocated]],0)</f>
        <v>2</v>
      </c>
      <c r="K250">
        <v>668</v>
      </c>
      <c r="L250" t="s">
        <v>994</v>
      </c>
      <c r="M250" t="s">
        <v>995</v>
      </c>
      <c r="N250" t="s">
        <v>996</v>
      </c>
      <c r="O250" t="s">
        <v>26</v>
      </c>
      <c r="P250" t="s">
        <v>997</v>
      </c>
      <c r="Q250" t="s">
        <v>34</v>
      </c>
    </row>
    <row r="251" spans="1:17" x14ac:dyDescent="0.25">
      <c r="A251" t="s">
        <v>993</v>
      </c>
      <c r="B251" t="s">
        <v>789</v>
      </c>
      <c r="C251" t="s">
        <v>19</v>
      </c>
      <c r="D251" t="s">
        <v>20</v>
      </c>
      <c r="E251" t="s">
        <v>171</v>
      </c>
      <c r="F251" t="s">
        <v>29</v>
      </c>
      <c r="G251">
        <v>98072</v>
      </c>
      <c r="H251">
        <v>109</v>
      </c>
      <c r="I251">
        <v>33</v>
      </c>
      <c r="J251" s="4">
        <f>MAX(Inventory[[#This Row],[Qty On Hand]]-Inventory[[#This Row],[Qty Allocated]],0)</f>
        <v>76</v>
      </c>
      <c r="K251">
        <v>260</v>
      </c>
      <c r="L251" t="s">
        <v>998</v>
      </c>
      <c r="M251" t="s">
        <v>999</v>
      </c>
      <c r="N251" t="s">
        <v>1000</v>
      </c>
      <c r="O251" t="s">
        <v>26</v>
      </c>
      <c r="P251" t="s">
        <v>1001</v>
      </c>
      <c r="Q251" t="s">
        <v>34</v>
      </c>
    </row>
    <row r="252" spans="1:17" x14ac:dyDescent="0.25">
      <c r="A252" t="s">
        <v>993</v>
      </c>
      <c r="B252" t="s">
        <v>789</v>
      </c>
      <c r="C252" t="s">
        <v>19</v>
      </c>
      <c r="D252" t="s">
        <v>20</v>
      </c>
      <c r="E252" t="s">
        <v>171</v>
      </c>
      <c r="F252" t="s">
        <v>35</v>
      </c>
      <c r="G252">
        <v>75201</v>
      </c>
      <c r="H252">
        <v>110</v>
      </c>
      <c r="I252">
        <v>66</v>
      </c>
      <c r="J252" s="4">
        <f>MAX(Inventory[[#This Row],[Qty On Hand]]-Inventory[[#This Row],[Qty Allocated]],0)</f>
        <v>44</v>
      </c>
      <c r="K252">
        <v>118</v>
      </c>
      <c r="L252" t="s">
        <v>1002</v>
      </c>
      <c r="M252" t="s">
        <v>1003</v>
      </c>
      <c r="N252" t="s">
        <v>308</v>
      </c>
      <c r="O252" t="s">
        <v>26</v>
      </c>
      <c r="P252" t="s">
        <v>1004</v>
      </c>
      <c r="Q252" t="s">
        <v>34</v>
      </c>
    </row>
    <row r="253" spans="1:17" x14ac:dyDescent="0.25">
      <c r="A253" t="s">
        <v>993</v>
      </c>
      <c r="B253" t="s">
        <v>789</v>
      </c>
      <c r="C253" t="s">
        <v>19</v>
      </c>
      <c r="D253" t="s">
        <v>20</v>
      </c>
      <c r="E253" t="s">
        <v>171</v>
      </c>
      <c r="F253" t="s">
        <v>35</v>
      </c>
      <c r="G253">
        <v>75201</v>
      </c>
      <c r="H253">
        <v>119</v>
      </c>
      <c r="I253">
        <v>76</v>
      </c>
      <c r="J253" s="4">
        <f>MAX(Inventory[[#This Row],[Qty On Hand]]-Inventory[[#This Row],[Qty Allocated]],0)</f>
        <v>43</v>
      </c>
      <c r="K253">
        <v>183</v>
      </c>
      <c r="L253" t="s">
        <v>1005</v>
      </c>
      <c r="M253" t="s">
        <v>1006</v>
      </c>
      <c r="N253" t="s">
        <v>1007</v>
      </c>
      <c r="O253" t="s">
        <v>26</v>
      </c>
      <c r="P253" t="s">
        <v>1008</v>
      </c>
      <c r="Q253" t="s">
        <v>34</v>
      </c>
    </row>
    <row r="254" spans="1:17" x14ac:dyDescent="0.25">
      <c r="A254" t="s">
        <v>993</v>
      </c>
      <c r="B254" t="s">
        <v>789</v>
      </c>
      <c r="C254" t="s">
        <v>19</v>
      </c>
      <c r="D254" t="s">
        <v>20</v>
      </c>
      <c r="E254" t="s">
        <v>171</v>
      </c>
      <c r="F254" t="s">
        <v>35</v>
      </c>
      <c r="G254">
        <v>75201</v>
      </c>
      <c r="H254">
        <v>115</v>
      </c>
      <c r="I254">
        <v>75</v>
      </c>
      <c r="J254" s="4">
        <f>MAX(Inventory[[#This Row],[Qty On Hand]]-Inventory[[#This Row],[Qty Allocated]],0)</f>
        <v>40</v>
      </c>
      <c r="K254">
        <v>281</v>
      </c>
      <c r="L254" t="s">
        <v>1009</v>
      </c>
      <c r="M254" t="s">
        <v>1010</v>
      </c>
      <c r="N254" t="s">
        <v>1011</v>
      </c>
      <c r="O254" t="s">
        <v>26</v>
      </c>
      <c r="P254" t="s">
        <v>1012</v>
      </c>
      <c r="Q254" t="s">
        <v>92</v>
      </c>
    </row>
    <row r="255" spans="1:17" x14ac:dyDescent="0.25">
      <c r="A255" t="s">
        <v>993</v>
      </c>
      <c r="B255" t="s">
        <v>789</v>
      </c>
      <c r="C255" t="s">
        <v>19</v>
      </c>
      <c r="D255" t="s">
        <v>20</v>
      </c>
      <c r="E255" t="s">
        <v>171</v>
      </c>
      <c r="F255" t="s">
        <v>62</v>
      </c>
      <c r="G255">
        <v>63101</v>
      </c>
      <c r="H255">
        <v>73</v>
      </c>
      <c r="I255">
        <v>22</v>
      </c>
      <c r="J255" s="4">
        <f>MAX(Inventory[[#This Row],[Qty On Hand]]-Inventory[[#This Row],[Qty Allocated]],0)</f>
        <v>51</v>
      </c>
      <c r="K255">
        <v>363</v>
      </c>
      <c r="L255" t="s">
        <v>1013</v>
      </c>
      <c r="M255" t="s">
        <v>1014</v>
      </c>
      <c r="N255" t="s">
        <v>1015</v>
      </c>
      <c r="O255" t="s">
        <v>48</v>
      </c>
      <c r="P255" t="s">
        <v>1016</v>
      </c>
      <c r="Q255" t="s">
        <v>28</v>
      </c>
    </row>
    <row r="256" spans="1:17" x14ac:dyDescent="0.25">
      <c r="A256" t="s">
        <v>993</v>
      </c>
      <c r="B256" t="s">
        <v>789</v>
      </c>
      <c r="C256" t="s">
        <v>19</v>
      </c>
      <c r="D256" t="s">
        <v>20</v>
      </c>
      <c r="E256" t="s">
        <v>171</v>
      </c>
      <c r="F256" t="s">
        <v>62</v>
      </c>
      <c r="G256">
        <v>63101</v>
      </c>
      <c r="H256">
        <v>110</v>
      </c>
      <c r="I256">
        <v>29</v>
      </c>
      <c r="J256" s="4">
        <f>MAX(Inventory[[#This Row],[Qty On Hand]]-Inventory[[#This Row],[Qty Allocated]],0)</f>
        <v>81</v>
      </c>
      <c r="K256">
        <v>262</v>
      </c>
      <c r="L256" t="s">
        <v>1017</v>
      </c>
      <c r="M256" t="s">
        <v>1018</v>
      </c>
      <c r="N256" t="s">
        <v>1019</v>
      </c>
      <c r="O256" t="s">
        <v>26</v>
      </c>
      <c r="P256" t="s">
        <v>1020</v>
      </c>
      <c r="Q256" t="s">
        <v>92</v>
      </c>
    </row>
    <row r="257" spans="1:17" x14ac:dyDescent="0.25">
      <c r="A257" t="s">
        <v>993</v>
      </c>
      <c r="B257" t="s">
        <v>789</v>
      </c>
      <c r="C257" t="s">
        <v>19</v>
      </c>
      <c r="D257" t="s">
        <v>20</v>
      </c>
      <c r="E257" t="s">
        <v>171</v>
      </c>
      <c r="F257" t="s">
        <v>62</v>
      </c>
      <c r="G257">
        <v>63101</v>
      </c>
      <c r="H257">
        <v>138</v>
      </c>
      <c r="I257">
        <v>15</v>
      </c>
      <c r="J257" s="4">
        <f>MAX(Inventory[[#This Row],[Qty On Hand]]-Inventory[[#This Row],[Qty Allocated]],0)</f>
        <v>123</v>
      </c>
      <c r="K257">
        <v>248</v>
      </c>
      <c r="L257" t="s">
        <v>1021</v>
      </c>
      <c r="M257" t="s">
        <v>1022</v>
      </c>
      <c r="N257" t="s">
        <v>1023</v>
      </c>
      <c r="O257" t="s">
        <v>26</v>
      </c>
      <c r="P257" t="s">
        <v>1024</v>
      </c>
      <c r="Q257" t="s">
        <v>28</v>
      </c>
    </row>
    <row r="258" spans="1:17" x14ac:dyDescent="0.25">
      <c r="A258" t="s">
        <v>993</v>
      </c>
      <c r="B258" t="s">
        <v>789</v>
      </c>
      <c r="C258" t="s">
        <v>19</v>
      </c>
      <c r="D258" t="s">
        <v>20</v>
      </c>
      <c r="E258" t="s">
        <v>171</v>
      </c>
      <c r="F258" t="s">
        <v>83</v>
      </c>
      <c r="G258">
        <v>28202</v>
      </c>
      <c r="H258">
        <v>101</v>
      </c>
      <c r="I258">
        <v>31</v>
      </c>
      <c r="J258" s="4">
        <f>MAX(Inventory[[#This Row],[Qty On Hand]]-Inventory[[#This Row],[Qty Allocated]],0)</f>
        <v>70</v>
      </c>
      <c r="K258">
        <v>162</v>
      </c>
      <c r="L258" t="s">
        <v>1025</v>
      </c>
      <c r="M258" t="s">
        <v>1026</v>
      </c>
      <c r="N258" t="s">
        <v>1027</v>
      </c>
      <c r="O258" t="s">
        <v>26</v>
      </c>
      <c r="P258" t="s">
        <v>1028</v>
      </c>
      <c r="Q258" t="s">
        <v>28</v>
      </c>
    </row>
    <row r="259" spans="1:17" x14ac:dyDescent="0.25">
      <c r="A259" t="s">
        <v>993</v>
      </c>
      <c r="B259" t="s">
        <v>789</v>
      </c>
      <c r="C259" t="s">
        <v>19</v>
      </c>
      <c r="D259" t="s">
        <v>20</v>
      </c>
      <c r="E259" t="s">
        <v>171</v>
      </c>
      <c r="F259" t="s">
        <v>83</v>
      </c>
      <c r="G259">
        <v>28202</v>
      </c>
      <c r="H259">
        <v>154</v>
      </c>
      <c r="I259">
        <v>12</v>
      </c>
      <c r="J259" s="4">
        <f>MAX(Inventory[[#This Row],[Qty On Hand]]-Inventory[[#This Row],[Qty Allocated]],0)</f>
        <v>142</v>
      </c>
      <c r="K259">
        <v>358</v>
      </c>
      <c r="L259" t="s">
        <v>1029</v>
      </c>
      <c r="M259" t="s">
        <v>1030</v>
      </c>
      <c r="N259" t="s">
        <v>1031</v>
      </c>
      <c r="O259" t="s">
        <v>48</v>
      </c>
      <c r="P259" t="s">
        <v>1032</v>
      </c>
      <c r="Q259" t="s">
        <v>92</v>
      </c>
    </row>
    <row r="260" spans="1:17" x14ac:dyDescent="0.25">
      <c r="A260" t="s">
        <v>993</v>
      </c>
      <c r="B260" t="s">
        <v>789</v>
      </c>
      <c r="C260" t="s">
        <v>19</v>
      </c>
      <c r="D260" t="s">
        <v>20</v>
      </c>
      <c r="E260" t="s">
        <v>171</v>
      </c>
      <c r="F260" t="s">
        <v>83</v>
      </c>
      <c r="G260">
        <v>28202</v>
      </c>
      <c r="H260">
        <v>139</v>
      </c>
      <c r="I260">
        <v>41</v>
      </c>
      <c r="J260" s="4">
        <f>MAX(Inventory[[#This Row],[Qty On Hand]]-Inventory[[#This Row],[Qty Allocated]],0)</f>
        <v>98</v>
      </c>
      <c r="K260">
        <v>257</v>
      </c>
      <c r="L260" t="s">
        <v>1033</v>
      </c>
      <c r="M260" t="s">
        <v>1034</v>
      </c>
      <c r="N260" t="s">
        <v>471</v>
      </c>
      <c r="O260" t="s">
        <v>48</v>
      </c>
      <c r="P260" t="s">
        <v>87</v>
      </c>
      <c r="Q260" t="s">
        <v>34</v>
      </c>
    </row>
    <row r="261" spans="1:17" x14ac:dyDescent="0.25">
      <c r="A261" t="s">
        <v>1035</v>
      </c>
      <c r="B261" t="s">
        <v>789</v>
      </c>
      <c r="C261" t="s">
        <v>19</v>
      </c>
      <c r="D261" t="s">
        <v>20</v>
      </c>
      <c r="E261" t="s">
        <v>830</v>
      </c>
      <c r="F261" t="s">
        <v>62</v>
      </c>
      <c r="G261">
        <v>63101</v>
      </c>
      <c r="H261">
        <v>93</v>
      </c>
      <c r="I261">
        <v>3</v>
      </c>
      <c r="J261" s="4">
        <f>MAX(Inventory[[#This Row],[Qty On Hand]]-Inventory[[#This Row],[Qty Allocated]],0)</f>
        <v>90</v>
      </c>
      <c r="K261">
        <v>202</v>
      </c>
      <c r="L261" t="s">
        <v>1036</v>
      </c>
      <c r="M261" t="s">
        <v>1037</v>
      </c>
      <c r="N261" t="s">
        <v>320</v>
      </c>
      <c r="O261" t="s">
        <v>26</v>
      </c>
      <c r="P261" t="s">
        <v>1038</v>
      </c>
      <c r="Q261" t="s">
        <v>34</v>
      </c>
    </row>
    <row r="262" spans="1:17" x14ac:dyDescent="0.25">
      <c r="A262" t="s">
        <v>1035</v>
      </c>
      <c r="B262" t="s">
        <v>789</v>
      </c>
      <c r="C262" t="s">
        <v>19</v>
      </c>
      <c r="D262" t="s">
        <v>20</v>
      </c>
      <c r="E262" t="s">
        <v>830</v>
      </c>
      <c r="F262" t="s">
        <v>35</v>
      </c>
      <c r="G262">
        <v>75201</v>
      </c>
      <c r="H262">
        <v>73</v>
      </c>
      <c r="I262">
        <v>0</v>
      </c>
      <c r="J262" s="4">
        <f>MAX(Inventory[[#This Row],[Qty On Hand]]-Inventory[[#This Row],[Qty Allocated]],0)</f>
        <v>73</v>
      </c>
      <c r="K262">
        <v>319</v>
      </c>
      <c r="L262" t="s">
        <v>1039</v>
      </c>
      <c r="M262" t="s">
        <v>1040</v>
      </c>
      <c r="N262" t="s">
        <v>232</v>
      </c>
      <c r="O262" t="s">
        <v>26</v>
      </c>
      <c r="P262" t="s">
        <v>1041</v>
      </c>
      <c r="Q262" t="s">
        <v>92</v>
      </c>
    </row>
    <row r="263" spans="1:17" x14ac:dyDescent="0.25">
      <c r="A263" t="s">
        <v>1035</v>
      </c>
      <c r="B263" t="s">
        <v>789</v>
      </c>
      <c r="C263" t="s">
        <v>19</v>
      </c>
      <c r="D263" t="s">
        <v>20</v>
      </c>
      <c r="E263" t="s">
        <v>830</v>
      </c>
      <c r="F263" t="s">
        <v>29</v>
      </c>
      <c r="G263">
        <v>98072</v>
      </c>
      <c r="H263">
        <v>67</v>
      </c>
      <c r="I263">
        <v>7</v>
      </c>
      <c r="J263" s="4">
        <f>MAX(Inventory[[#This Row],[Qty On Hand]]-Inventory[[#This Row],[Qty Allocated]],0)</f>
        <v>60</v>
      </c>
      <c r="K263">
        <v>369</v>
      </c>
      <c r="L263" t="s">
        <v>1042</v>
      </c>
      <c r="M263" t="s">
        <v>1043</v>
      </c>
      <c r="N263" t="s">
        <v>1044</v>
      </c>
      <c r="O263" t="s">
        <v>26</v>
      </c>
      <c r="P263" t="s">
        <v>1045</v>
      </c>
      <c r="Q263" t="s">
        <v>34</v>
      </c>
    </row>
    <row r="264" spans="1:17" x14ac:dyDescent="0.25">
      <c r="A264" t="s">
        <v>1046</v>
      </c>
      <c r="B264" t="s">
        <v>789</v>
      </c>
      <c r="C264" t="s">
        <v>19</v>
      </c>
      <c r="D264" t="s">
        <v>20</v>
      </c>
      <c r="E264" t="s">
        <v>843</v>
      </c>
      <c r="F264" t="s">
        <v>62</v>
      </c>
      <c r="G264">
        <v>63101</v>
      </c>
      <c r="H264">
        <v>129</v>
      </c>
      <c r="I264">
        <v>0</v>
      </c>
      <c r="J264" s="4">
        <f>MAX(Inventory[[#This Row],[Qty On Hand]]-Inventory[[#This Row],[Qty Allocated]],0)</f>
        <v>129</v>
      </c>
      <c r="K264">
        <v>334</v>
      </c>
      <c r="L264" t="s">
        <v>1047</v>
      </c>
      <c r="M264" t="s">
        <v>1048</v>
      </c>
      <c r="N264" t="s">
        <v>616</v>
      </c>
      <c r="O264" t="s">
        <v>26</v>
      </c>
      <c r="P264" t="s">
        <v>1049</v>
      </c>
      <c r="Q264" t="s">
        <v>28</v>
      </c>
    </row>
    <row r="265" spans="1:17" x14ac:dyDescent="0.25">
      <c r="A265" t="s">
        <v>1046</v>
      </c>
      <c r="B265" t="s">
        <v>789</v>
      </c>
      <c r="C265" t="s">
        <v>19</v>
      </c>
      <c r="D265" t="s">
        <v>20</v>
      </c>
      <c r="E265" t="s">
        <v>843</v>
      </c>
      <c r="F265" t="s">
        <v>35</v>
      </c>
      <c r="G265">
        <v>75201</v>
      </c>
      <c r="H265">
        <v>95</v>
      </c>
      <c r="I265">
        <v>7</v>
      </c>
      <c r="J265" s="4">
        <f>MAX(Inventory[[#This Row],[Qty On Hand]]-Inventory[[#This Row],[Qty Allocated]],0)</f>
        <v>88</v>
      </c>
      <c r="K265">
        <v>366</v>
      </c>
      <c r="L265" t="s">
        <v>1050</v>
      </c>
      <c r="M265" t="s">
        <v>1051</v>
      </c>
      <c r="N265" t="s">
        <v>1052</v>
      </c>
      <c r="O265" t="s">
        <v>26</v>
      </c>
      <c r="P265" t="s">
        <v>1053</v>
      </c>
      <c r="Q265" t="s">
        <v>40</v>
      </c>
    </row>
    <row r="266" spans="1:17" x14ac:dyDescent="0.25">
      <c r="A266" t="s">
        <v>1046</v>
      </c>
      <c r="B266" t="s">
        <v>789</v>
      </c>
      <c r="C266" t="s">
        <v>19</v>
      </c>
      <c r="D266" t="s">
        <v>20</v>
      </c>
      <c r="E266" t="s">
        <v>843</v>
      </c>
      <c r="F266" t="s">
        <v>29</v>
      </c>
      <c r="G266">
        <v>98072</v>
      </c>
      <c r="H266">
        <v>188</v>
      </c>
      <c r="I266">
        <v>0</v>
      </c>
      <c r="J266" s="4">
        <f>MAX(Inventory[[#This Row],[Qty On Hand]]-Inventory[[#This Row],[Qty Allocated]],0)</f>
        <v>188</v>
      </c>
      <c r="K266">
        <v>346</v>
      </c>
      <c r="L266" t="s">
        <v>1054</v>
      </c>
      <c r="M266" t="s">
        <v>1055</v>
      </c>
      <c r="N266" t="s">
        <v>1056</v>
      </c>
      <c r="O266" t="s">
        <v>26</v>
      </c>
      <c r="P266" t="s">
        <v>1057</v>
      </c>
      <c r="Q266" t="s">
        <v>28</v>
      </c>
    </row>
    <row r="267" spans="1:17" x14ac:dyDescent="0.25">
      <c r="A267" t="s">
        <v>1058</v>
      </c>
      <c r="B267" t="s">
        <v>789</v>
      </c>
      <c r="C267" t="s">
        <v>19</v>
      </c>
      <c r="D267" t="s">
        <v>229</v>
      </c>
      <c r="E267" t="s">
        <v>21</v>
      </c>
      <c r="F267" t="s">
        <v>22</v>
      </c>
      <c r="G267">
        <v>94102</v>
      </c>
      <c r="H267">
        <v>9</v>
      </c>
      <c r="I267">
        <v>4</v>
      </c>
      <c r="J267" s="4">
        <f>MAX(Inventory[[#This Row],[Qty On Hand]]-Inventory[[#This Row],[Qty Allocated]],0)</f>
        <v>5</v>
      </c>
      <c r="K267">
        <v>238</v>
      </c>
      <c r="L267" t="s">
        <v>1059</v>
      </c>
      <c r="M267" t="s">
        <v>1060</v>
      </c>
      <c r="N267" t="s">
        <v>1061</v>
      </c>
      <c r="O267" t="s">
        <v>26</v>
      </c>
      <c r="P267" t="s">
        <v>1062</v>
      </c>
      <c r="Q267" t="s">
        <v>28</v>
      </c>
    </row>
    <row r="268" spans="1:17" x14ac:dyDescent="0.25">
      <c r="A268" t="s">
        <v>1058</v>
      </c>
      <c r="B268" t="s">
        <v>789</v>
      </c>
      <c r="C268" t="s">
        <v>19</v>
      </c>
      <c r="D268" t="s">
        <v>229</v>
      </c>
      <c r="E268" t="s">
        <v>122</v>
      </c>
      <c r="F268" t="s">
        <v>29</v>
      </c>
      <c r="G268">
        <v>98072</v>
      </c>
      <c r="H268">
        <v>4083</v>
      </c>
      <c r="I268">
        <v>72</v>
      </c>
      <c r="J268" s="4">
        <f>MAX(Inventory[[#This Row],[Qty On Hand]]-Inventory[[#This Row],[Qty Allocated]],0)</f>
        <v>4011</v>
      </c>
      <c r="K268">
        <v>204</v>
      </c>
      <c r="L268" t="s">
        <v>1063</v>
      </c>
      <c r="M268" t="s">
        <v>1064</v>
      </c>
      <c r="N268" t="s">
        <v>137</v>
      </c>
      <c r="O268" t="s">
        <v>26</v>
      </c>
      <c r="P268" t="s">
        <v>1065</v>
      </c>
      <c r="Q268" t="s">
        <v>28</v>
      </c>
    </row>
    <row r="269" spans="1:17" x14ac:dyDescent="0.25">
      <c r="A269" t="s">
        <v>1058</v>
      </c>
      <c r="B269" t="s">
        <v>789</v>
      </c>
      <c r="C269" t="s">
        <v>19</v>
      </c>
      <c r="D269" t="s">
        <v>229</v>
      </c>
      <c r="E269" t="s">
        <v>21</v>
      </c>
      <c r="F269" t="s">
        <v>35</v>
      </c>
      <c r="G269">
        <v>75201</v>
      </c>
      <c r="H269">
        <v>158</v>
      </c>
      <c r="I269">
        <v>79</v>
      </c>
      <c r="J269" s="4">
        <f>MAX(Inventory[[#This Row],[Qty On Hand]]-Inventory[[#This Row],[Qty Allocated]],0)</f>
        <v>79</v>
      </c>
      <c r="K269">
        <v>391</v>
      </c>
      <c r="L269" t="s">
        <v>1066</v>
      </c>
      <c r="M269" t="s">
        <v>1067</v>
      </c>
      <c r="N269" t="s">
        <v>1068</v>
      </c>
      <c r="O269" t="s">
        <v>26</v>
      </c>
      <c r="P269" t="s">
        <v>1069</v>
      </c>
      <c r="Q269" t="s">
        <v>34</v>
      </c>
    </row>
    <row r="270" spans="1:17" x14ac:dyDescent="0.25">
      <c r="A270" t="s">
        <v>1058</v>
      </c>
      <c r="B270" t="s">
        <v>789</v>
      </c>
      <c r="C270" t="s">
        <v>19</v>
      </c>
      <c r="D270" t="s">
        <v>229</v>
      </c>
      <c r="E270" t="s">
        <v>21</v>
      </c>
      <c r="F270" t="s">
        <v>35</v>
      </c>
      <c r="G270">
        <v>75201</v>
      </c>
      <c r="H270">
        <v>168</v>
      </c>
      <c r="I270">
        <v>87</v>
      </c>
      <c r="J270" s="4">
        <f>MAX(Inventory[[#This Row],[Qty On Hand]]-Inventory[[#This Row],[Qty Allocated]],0)</f>
        <v>81</v>
      </c>
      <c r="K270">
        <v>108</v>
      </c>
      <c r="L270" t="s">
        <v>1070</v>
      </c>
      <c r="M270" t="s">
        <v>1071</v>
      </c>
      <c r="N270" t="s">
        <v>90</v>
      </c>
      <c r="O270" t="s">
        <v>26</v>
      </c>
      <c r="P270" t="s">
        <v>207</v>
      </c>
      <c r="Q270" t="s">
        <v>92</v>
      </c>
    </row>
    <row r="271" spans="1:17" x14ac:dyDescent="0.25">
      <c r="A271" t="s">
        <v>1058</v>
      </c>
      <c r="B271" t="s">
        <v>789</v>
      </c>
      <c r="C271" t="s">
        <v>19</v>
      </c>
      <c r="D271" t="s">
        <v>229</v>
      </c>
      <c r="E271" t="s">
        <v>21</v>
      </c>
      <c r="F271" t="s">
        <v>35</v>
      </c>
      <c r="G271">
        <v>75201</v>
      </c>
      <c r="H271">
        <v>90</v>
      </c>
      <c r="I271">
        <v>66</v>
      </c>
      <c r="J271" s="4">
        <f>MAX(Inventory[[#This Row],[Qty On Hand]]-Inventory[[#This Row],[Qty Allocated]],0)</f>
        <v>24</v>
      </c>
      <c r="K271">
        <v>386</v>
      </c>
      <c r="L271" t="s">
        <v>1072</v>
      </c>
      <c r="M271" t="s">
        <v>1073</v>
      </c>
      <c r="N271" t="s">
        <v>1074</v>
      </c>
      <c r="O271" t="s">
        <v>48</v>
      </c>
      <c r="P271" t="s">
        <v>945</v>
      </c>
      <c r="Q271" t="s">
        <v>34</v>
      </c>
    </row>
    <row r="272" spans="1:17" x14ac:dyDescent="0.25">
      <c r="A272" t="s">
        <v>1058</v>
      </c>
      <c r="B272" t="s">
        <v>789</v>
      </c>
      <c r="C272" t="s">
        <v>19</v>
      </c>
      <c r="D272" t="s">
        <v>229</v>
      </c>
      <c r="E272" t="s">
        <v>21</v>
      </c>
      <c r="F272" t="s">
        <v>62</v>
      </c>
      <c r="G272">
        <v>63101</v>
      </c>
      <c r="H272">
        <v>120</v>
      </c>
      <c r="I272">
        <v>79</v>
      </c>
      <c r="J272" s="4">
        <f>MAX(Inventory[[#This Row],[Qty On Hand]]-Inventory[[#This Row],[Qty Allocated]],0)</f>
        <v>41</v>
      </c>
      <c r="K272">
        <v>350</v>
      </c>
      <c r="L272" t="s">
        <v>1075</v>
      </c>
      <c r="M272" t="s">
        <v>1076</v>
      </c>
      <c r="N272" t="s">
        <v>1077</v>
      </c>
      <c r="O272" t="s">
        <v>48</v>
      </c>
      <c r="P272" t="s">
        <v>390</v>
      </c>
      <c r="Q272" t="s">
        <v>92</v>
      </c>
    </row>
    <row r="273" spans="1:17" x14ac:dyDescent="0.25">
      <c r="A273" t="s">
        <v>1058</v>
      </c>
      <c r="B273" t="s">
        <v>789</v>
      </c>
      <c r="C273" t="s">
        <v>19</v>
      </c>
      <c r="D273" t="s">
        <v>229</v>
      </c>
      <c r="E273" t="s">
        <v>21</v>
      </c>
      <c r="F273" t="s">
        <v>62</v>
      </c>
      <c r="G273">
        <v>63101</v>
      </c>
      <c r="H273">
        <v>142</v>
      </c>
      <c r="I273">
        <v>74</v>
      </c>
      <c r="J273" s="4">
        <f>MAX(Inventory[[#This Row],[Qty On Hand]]-Inventory[[#This Row],[Qty Allocated]],0)</f>
        <v>68</v>
      </c>
      <c r="K273">
        <v>331</v>
      </c>
      <c r="L273" t="s">
        <v>1078</v>
      </c>
      <c r="M273" t="s">
        <v>1079</v>
      </c>
      <c r="N273" t="s">
        <v>1080</v>
      </c>
      <c r="O273" t="s">
        <v>26</v>
      </c>
      <c r="P273" t="s">
        <v>1081</v>
      </c>
      <c r="Q273" t="s">
        <v>34</v>
      </c>
    </row>
    <row r="274" spans="1:17" x14ac:dyDescent="0.25">
      <c r="A274" t="s">
        <v>1058</v>
      </c>
      <c r="B274" t="s">
        <v>789</v>
      </c>
      <c r="C274" t="s">
        <v>19</v>
      </c>
      <c r="D274" t="s">
        <v>229</v>
      </c>
      <c r="E274" t="s">
        <v>21</v>
      </c>
      <c r="F274" t="s">
        <v>62</v>
      </c>
      <c r="G274">
        <v>63101</v>
      </c>
      <c r="H274">
        <v>112</v>
      </c>
      <c r="I274">
        <v>34</v>
      </c>
      <c r="J274" s="4">
        <f>MAX(Inventory[[#This Row],[Qty On Hand]]-Inventory[[#This Row],[Qty Allocated]],0)</f>
        <v>78</v>
      </c>
      <c r="K274">
        <v>112</v>
      </c>
      <c r="L274" t="s">
        <v>1082</v>
      </c>
      <c r="M274" t="s">
        <v>1083</v>
      </c>
      <c r="N274" t="s">
        <v>1084</v>
      </c>
      <c r="O274" t="s">
        <v>26</v>
      </c>
      <c r="P274" t="s">
        <v>1085</v>
      </c>
      <c r="Q274" t="s">
        <v>28</v>
      </c>
    </row>
    <row r="275" spans="1:17" x14ac:dyDescent="0.25">
      <c r="A275" t="s">
        <v>1058</v>
      </c>
      <c r="B275" t="s">
        <v>789</v>
      </c>
      <c r="C275" t="s">
        <v>19</v>
      </c>
      <c r="D275" t="s">
        <v>229</v>
      </c>
      <c r="E275" t="s">
        <v>21</v>
      </c>
      <c r="F275" t="s">
        <v>62</v>
      </c>
      <c r="G275">
        <v>63101</v>
      </c>
      <c r="H275">
        <v>163</v>
      </c>
      <c r="I275">
        <v>16</v>
      </c>
      <c r="J275" s="4">
        <f>MAX(Inventory[[#This Row],[Qty On Hand]]-Inventory[[#This Row],[Qty Allocated]],0)</f>
        <v>147</v>
      </c>
      <c r="K275">
        <v>338</v>
      </c>
      <c r="L275" t="s">
        <v>1086</v>
      </c>
      <c r="M275" t="s">
        <v>1087</v>
      </c>
      <c r="N275" t="s">
        <v>1088</v>
      </c>
      <c r="O275" t="s">
        <v>26</v>
      </c>
      <c r="P275" t="s">
        <v>1089</v>
      </c>
      <c r="Q275" t="s">
        <v>34</v>
      </c>
    </row>
    <row r="276" spans="1:17" x14ac:dyDescent="0.25">
      <c r="A276" t="s">
        <v>1058</v>
      </c>
      <c r="B276" t="s">
        <v>789</v>
      </c>
      <c r="C276" t="s">
        <v>19</v>
      </c>
      <c r="D276" t="s">
        <v>229</v>
      </c>
      <c r="E276" t="s">
        <v>21</v>
      </c>
      <c r="F276" t="s">
        <v>62</v>
      </c>
      <c r="G276">
        <v>63101</v>
      </c>
      <c r="H276">
        <v>97</v>
      </c>
      <c r="I276">
        <v>51</v>
      </c>
      <c r="J276" s="4">
        <f>MAX(Inventory[[#This Row],[Qty On Hand]]-Inventory[[#This Row],[Qty Allocated]],0)</f>
        <v>46</v>
      </c>
      <c r="K276">
        <v>259</v>
      </c>
      <c r="L276" t="s">
        <v>1090</v>
      </c>
      <c r="M276" t="s">
        <v>1091</v>
      </c>
      <c r="N276" t="s">
        <v>316</v>
      </c>
      <c r="O276" t="s">
        <v>26</v>
      </c>
      <c r="P276" t="s">
        <v>39</v>
      </c>
      <c r="Q276" t="s">
        <v>28</v>
      </c>
    </row>
    <row r="277" spans="1:17" x14ac:dyDescent="0.25">
      <c r="A277" t="s">
        <v>1058</v>
      </c>
      <c r="B277" t="s">
        <v>789</v>
      </c>
      <c r="C277" t="s">
        <v>19</v>
      </c>
      <c r="D277" t="s">
        <v>229</v>
      </c>
      <c r="E277" t="s">
        <v>21</v>
      </c>
      <c r="F277" t="s">
        <v>83</v>
      </c>
      <c r="G277">
        <v>28202</v>
      </c>
      <c r="H277">
        <v>80</v>
      </c>
      <c r="I277">
        <v>4</v>
      </c>
      <c r="J277" s="4">
        <f>MAX(Inventory[[#This Row],[Qty On Hand]]-Inventory[[#This Row],[Qty Allocated]],0)</f>
        <v>76</v>
      </c>
      <c r="K277">
        <v>168</v>
      </c>
      <c r="L277" t="s">
        <v>1092</v>
      </c>
      <c r="M277" t="s">
        <v>1093</v>
      </c>
      <c r="N277" t="s">
        <v>1094</v>
      </c>
      <c r="O277" t="s">
        <v>26</v>
      </c>
      <c r="P277" t="s">
        <v>1095</v>
      </c>
      <c r="Q277" t="s">
        <v>40</v>
      </c>
    </row>
    <row r="278" spans="1:17" x14ac:dyDescent="0.25">
      <c r="A278" t="s">
        <v>1058</v>
      </c>
      <c r="B278" t="s">
        <v>789</v>
      </c>
      <c r="C278" t="s">
        <v>19</v>
      </c>
      <c r="D278" t="s">
        <v>229</v>
      </c>
      <c r="E278" t="s">
        <v>21</v>
      </c>
      <c r="F278" t="s">
        <v>83</v>
      </c>
      <c r="G278">
        <v>28202</v>
      </c>
      <c r="H278">
        <v>153</v>
      </c>
      <c r="I278">
        <v>27</v>
      </c>
      <c r="J278" s="4">
        <f>MAX(Inventory[[#This Row],[Qty On Hand]]-Inventory[[#This Row],[Qty Allocated]],0)</f>
        <v>126</v>
      </c>
      <c r="K278">
        <v>362</v>
      </c>
      <c r="L278" t="s">
        <v>1096</v>
      </c>
      <c r="M278" t="s">
        <v>1097</v>
      </c>
      <c r="N278" t="s">
        <v>1098</v>
      </c>
      <c r="O278" t="s">
        <v>26</v>
      </c>
      <c r="P278" t="s">
        <v>1099</v>
      </c>
      <c r="Q278" t="s">
        <v>28</v>
      </c>
    </row>
    <row r="279" spans="1:17" x14ac:dyDescent="0.25">
      <c r="A279" t="s">
        <v>1058</v>
      </c>
      <c r="B279" t="s">
        <v>789</v>
      </c>
      <c r="C279" t="s">
        <v>19</v>
      </c>
      <c r="D279" t="s">
        <v>229</v>
      </c>
      <c r="E279" t="s">
        <v>21</v>
      </c>
      <c r="F279" t="s">
        <v>83</v>
      </c>
      <c r="G279">
        <v>28202</v>
      </c>
      <c r="H279">
        <v>79</v>
      </c>
      <c r="I279">
        <v>5</v>
      </c>
      <c r="J279" s="4">
        <f>MAX(Inventory[[#This Row],[Qty On Hand]]-Inventory[[#This Row],[Qty Allocated]],0)</f>
        <v>74</v>
      </c>
      <c r="K279">
        <v>107</v>
      </c>
      <c r="L279" t="s">
        <v>1100</v>
      </c>
      <c r="M279" t="s">
        <v>1101</v>
      </c>
      <c r="N279" t="s">
        <v>1102</v>
      </c>
      <c r="O279" t="s">
        <v>26</v>
      </c>
      <c r="P279" t="s">
        <v>44</v>
      </c>
      <c r="Q279" t="s">
        <v>28</v>
      </c>
    </row>
    <row r="280" spans="1:17" x14ac:dyDescent="0.25">
      <c r="A280" t="s">
        <v>1103</v>
      </c>
      <c r="B280" t="s">
        <v>789</v>
      </c>
      <c r="C280" t="s">
        <v>19</v>
      </c>
      <c r="D280" t="s">
        <v>229</v>
      </c>
      <c r="E280" t="s">
        <v>122</v>
      </c>
      <c r="F280" t="s">
        <v>22</v>
      </c>
      <c r="G280">
        <v>94102</v>
      </c>
      <c r="H280">
        <v>5</v>
      </c>
      <c r="I280">
        <v>4</v>
      </c>
      <c r="J280" s="4">
        <f>MAX(Inventory[[#This Row],[Qty On Hand]]-Inventory[[#This Row],[Qty Allocated]],0)</f>
        <v>1</v>
      </c>
      <c r="K280">
        <v>404</v>
      </c>
      <c r="L280" t="s">
        <v>1104</v>
      </c>
      <c r="M280" t="s">
        <v>1105</v>
      </c>
      <c r="N280" t="s">
        <v>1106</v>
      </c>
      <c r="O280" t="s">
        <v>26</v>
      </c>
      <c r="P280" t="s">
        <v>1107</v>
      </c>
      <c r="Q280" t="s">
        <v>34</v>
      </c>
    </row>
    <row r="281" spans="1:17" x14ac:dyDescent="0.25">
      <c r="A281" t="s">
        <v>1103</v>
      </c>
      <c r="B281" t="s">
        <v>789</v>
      </c>
      <c r="C281" t="s">
        <v>19</v>
      </c>
      <c r="D281" t="s">
        <v>229</v>
      </c>
      <c r="E281" t="s">
        <v>122</v>
      </c>
      <c r="F281" t="s">
        <v>35</v>
      </c>
      <c r="G281">
        <v>75201</v>
      </c>
      <c r="H281">
        <v>189</v>
      </c>
      <c r="I281">
        <v>70</v>
      </c>
      <c r="J281" s="4">
        <f>MAX(Inventory[[#This Row],[Qty On Hand]]-Inventory[[#This Row],[Qty Allocated]],0)</f>
        <v>119</v>
      </c>
      <c r="K281">
        <v>330</v>
      </c>
      <c r="L281" t="s">
        <v>1108</v>
      </c>
      <c r="M281" t="s">
        <v>1109</v>
      </c>
      <c r="N281" t="s">
        <v>1110</v>
      </c>
      <c r="O281" t="s">
        <v>26</v>
      </c>
      <c r="P281" t="s">
        <v>1111</v>
      </c>
      <c r="Q281" t="s">
        <v>28</v>
      </c>
    </row>
    <row r="282" spans="1:17" x14ac:dyDescent="0.25">
      <c r="A282" t="s">
        <v>1103</v>
      </c>
      <c r="B282" t="s">
        <v>789</v>
      </c>
      <c r="C282" t="s">
        <v>19</v>
      </c>
      <c r="D282" t="s">
        <v>229</v>
      </c>
      <c r="E282" t="s">
        <v>122</v>
      </c>
      <c r="F282" t="s">
        <v>35</v>
      </c>
      <c r="G282">
        <v>75201</v>
      </c>
      <c r="H282">
        <v>122</v>
      </c>
      <c r="I282">
        <v>37</v>
      </c>
      <c r="J282" s="4">
        <f>MAX(Inventory[[#This Row],[Qty On Hand]]-Inventory[[#This Row],[Qty Allocated]],0)</f>
        <v>85</v>
      </c>
      <c r="K282">
        <v>187</v>
      </c>
      <c r="L282" t="s">
        <v>1112</v>
      </c>
      <c r="M282" t="s">
        <v>1113</v>
      </c>
      <c r="N282" t="s">
        <v>1114</v>
      </c>
      <c r="O282" t="s">
        <v>26</v>
      </c>
      <c r="P282" t="s">
        <v>1115</v>
      </c>
      <c r="Q282" t="s">
        <v>40</v>
      </c>
    </row>
    <row r="283" spans="1:17" x14ac:dyDescent="0.25">
      <c r="A283" t="s">
        <v>1103</v>
      </c>
      <c r="B283" t="s">
        <v>789</v>
      </c>
      <c r="C283" t="s">
        <v>19</v>
      </c>
      <c r="D283" t="s">
        <v>229</v>
      </c>
      <c r="E283" t="s">
        <v>122</v>
      </c>
      <c r="F283" t="s">
        <v>35</v>
      </c>
      <c r="G283">
        <v>75201</v>
      </c>
      <c r="H283">
        <v>158</v>
      </c>
      <c r="I283">
        <v>10</v>
      </c>
      <c r="J283" s="4">
        <f>MAX(Inventory[[#This Row],[Qty On Hand]]-Inventory[[#This Row],[Qty Allocated]],0)</f>
        <v>148</v>
      </c>
      <c r="K283">
        <v>198</v>
      </c>
      <c r="L283" t="s">
        <v>1116</v>
      </c>
      <c r="M283" t="s">
        <v>1117</v>
      </c>
      <c r="N283" t="s">
        <v>1118</v>
      </c>
      <c r="O283" t="s">
        <v>26</v>
      </c>
      <c r="P283" t="s">
        <v>1119</v>
      </c>
      <c r="Q283" t="s">
        <v>28</v>
      </c>
    </row>
    <row r="284" spans="1:17" x14ac:dyDescent="0.25">
      <c r="A284" t="s">
        <v>1103</v>
      </c>
      <c r="B284" t="s">
        <v>789</v>
      </c>
      <c r="C284" t="s">
        <v>19</v>
      </c>
      <c r="D284" t="s">
        <v>229</v>
      </c>
      <c r="E284" t="s">
        <v>122</v>
      </c>
      <c r="F284" t="s">
        <v>62</v>
      </c>
      <c r="G284">
        <v>63101</v>
      </c>
      <c r="H284">
        <v>128</v>
      </c>
      <c r="I284">
        <v>96</v>
      </c>
      <c r="J284" s="4">
        <f>MAX(Inventory[[#This Row],[Qty On Hand]]-Inventory[[#This Row],[Qty Allocated]],0)</f>
        <v>32</v>
      </c>
      <c r="K284">
        <v>328</v>
      </c>
      <c r="L284" t="s">
        <v>1120</v>
      </c>
      <c r="M284" t="s">
        <v>1121</v>
      </c>
      <c r="N284" t="s">
        <v>901</v>
      </c>
      <c r="O284" t="s">
        <v>26</v>
      </c>
      <c r="P284" t="s">
        <v>1122</v>
      </c>
      <c r="Q284" t="s">
        <v>28</v>
      </c>
    </row>
    <row r="285" spans="1:17" x14ac:dyDescent="0.25">
      <c r="A285" t="s">
        <v>1103</v>
      </c>
      <c r="B285" t="s">
        <v>789</v>
      </c>
      <c r="C285" t="s">
        <v>19</v>
      </c>
      <c r="D285" t="s">
        <v>229</v>
      </c>
      <c r="E285" t="s">
        <v>122</v>
      </c>
      <c r="F285" t="s">
        <v>62</v>
      </c>
      <c r="G285">
        <v>63101</v>
      </c>
      <c r="H285">
        <v>90</v>
      </c>
      <c r="I285">
        <v>14</v>
      </c>
      <c r="J285" s="4">
        <f>MAX(Inventory[[#This Row],[Qty On Hand]]-Inventory[[#This Row],[Qty Allocated]],0)</f>
        <v>76</v>
      </c>
      <c r="K285">
        <v>240</v>
      </c>
      <c r="L285" t="s">
        <v>1123</v>
      </c>
      <c r="M285" t="s">
        <v>1124</v>
      </c>
      <c r="N285" t="s">
        <v>1125</v>
      </c>
      <c r="O285" t="s">
        <v>48</v>
      </c>
      <c r="P285" t="s">
        <v>1126</v>
      </c>
      <c r="Q285" t="s">
        <v>92</v>
      </c>
    </row>
    <row r="286" spans="1:17" x14ac:dyDescent="0.25">
      <c r="A286" t="s">
        <v>1103</v>
      </c>
      <c r="B286" t="s">
        <v>789</v>
      </c>
      <c r="C286" t="s">
        <v>19</v>
      </c>
      <c r="D286" t="s">
        <v>229</v>
      </c>
      <c r="E286" t="s">
        <v>122</v>
      </c>
      <c r="F286" t="s">
        <v>62</v>
      </c>
      <c r="G286">
        <v>63101</v>
      </c>
      <c r="H286">
        <v>138</v>
      </c>
      <c r="I286">
        <v>64</v>
      </c>
      <c r="J286" s="4">
        <f>MAX(Inventory[[#This Row],[Qty On Hand]]-Inventory[[#This Row],[Qty Allocated]],0)</f>
        <v>74</v>
      </c>
      <c r="K286">
        <v>355</v>
      </c>
      <c r="L286" t="s">
        <v>1127</v>
      </c>
      <c r="M286" t="s">
        <v>1128</v>
      </c>
      <c r="N286" t="s">
        <v>299</v>
      </c>
      <c r="O286" t="s">
        <v>26</v>
      </c>
      <c r="P286" t="s">
        <v>1119</v>
      </c>
      <c r="Q286" t="s">
        <v>28</v>
      </c>
    </row>
    <row r="287" spans="1:17" x14ac:dyDescent="0.25">
      <c r="A287" t="s">
        <v>1103</v>
      </c>
      <c r="B287" t="s">
        <v>789</v>
      </c>
      <c r="C287" t="s">
        <v>19</v>
      </c>
      <c r="D287" t="s">
        <v>229</v>
      </c>
      <c r="E287" t="s">
        <v>122</v>
      </c>
      <c r="F287" t="s">
        <v>62</v>
      </c>
      <c r="G287">
        <v>63101</v>
      </c>
      <c r="H287">
        <v>156</v>
      </c>
      <c r="I287">
        <v>12</v>
      </c>
      <c r="J287" s="4">
        <f>MAX(Inventory[[#This Row],[Qty On Hand]]-Inventory[[#This Row],[Qty Allocated]],0)</f>
        <v>144</v>
      </c>
      <c r="K287">
        <v>386</v>
      </c>
      <c r="L287" t="s">
        <v>1129</v>
      </c>
      <c r="M287" t="s">
        <v>1130</v>
      </c>
      <c r="N287" t="s">
        <v>272</v>
      </c>
      <c r="O287" t="s">
        <v>48</v>
      </c>
      <c r="P287" t="s">
        <v>1131</v>
      </c>
      <c r="Q287" t="s">
        <v>28</v>
      </c>
    </row>
    <row r="288" spans="1:17" x14ac:dyDescent="0.25">
      <c r="A288" t="s">
        <v>1103</v>
      </c>
      <c r="B288" t="s">
        <v>789</v>
      </c>
      <c r="C288" t="s">
        <v>19</v>
      </c>
      <c r="D288" t="s">
        <v>229</v>
      </c>
      <c r="E288" t="s">
        <v>122</v>
      </c>
      <c r="F288" t="s">
        <v>62</v>
      </c>
      <c r="G288">
        <v>63101</v>
      </c>
      <c r="H288">
        <v>66</v>
      </c>
      <c r="I288">
        <v>89</v>
      </c>
      <c r="J288" s="4">
        <f>MAX(Inventory[[#This Row],[Qty On Hand]]-Inventory[[#This Row],[Qty Allocated]],0)</f>
        <v>0</v>
      </c>
      <c r="K288">
        <v>156</v>
      </c>
      <c r="L288" t="s">
        <v>1132</v>
      </c>
      <c r="M288" t="s">
        <v>1133</v>
      </c>
      <c r="N288" t="s">
        <v>940</v>
      </c>
      <c r="O288" t="s">
        <v>26</v>
      </c>
      <c r="P288" t="s">
        <v>1134</v>
      </c>
      <c r="Q288" t="s">
        <v>92</v>
      </c>
    </row>
    <row r="289" spans="1:17" x14ac:dyDescent="0.25">
      <c r="A289" t="s">
        <v>1103</v>
      </c>
      <c r="B289" t="s">
        <v>789</v>
      </c>
      <c r="C289" t="s">
        <v>19</v>
      </c>
      <c r="D289" t="s">
        <v>229</v>
      </c>
      <c r="E289" t="s">
        <v>122</v>
      </c>
      <c r="F289" t="s">
        <v>62</v>
      </c>
      <c r="G289">
        <v>63101</v>
      </c>
      <c r="H289">
        <v>168</v>
      </c>
      <c r="I289">
        <v>82</v>
      </c>
      <c r="J289" s="4">
        <f>MAX(Inventory[[#This Row],[Qty On Hand]]-Inventory[[#This Row],[Qty Allocated]],0)</f>
        <v>86</v>
      </c>
      <c r="K289">
        <v>241</v>
      </c>
      <c r="L289" t="s">
        <v>1135</v>
      </c>
      <c r="M289" t="s">
        <v>1136</v>
      </c>
      <c r="N289" t="s">
        <v>361</v>
      </c>
      <c r="O289" t="s">
        <v>26</v>
      </c>
      <c r="P289" t="s">
        <v>775</v>
      </c>
      <c r="Q289" t="s">
        <v>40</v>
      </c>
    </row>
    <row r="290" spans="1:17" x14ac:dyDescent="0.25">
      <c r="A290" t="s">
        <v>1103</v>
      </c>
      <c r="B290" t="s">
        <v>789</v>
      </c>
      <c r="C290" t="s">
        <v>19</v>
      </c>
      <c r="D290" t="s">
        <v>229</v>
      </c>
      <c r="E290" t="s">
        <v>122</v>
      </c>
      <c r="F290" t="s">
        <v>83</v>
      </c>
      <c r="G290">
        <v>28202</v>
      </c>
      <c r="H290">
        <v>165</v>
      </c>
      <c r="I290">
        <v>62</v>
      </c>
      <c r="J290" s="4">
        <f>MAX(Inventory[[#This Row],[Qty On Hand]]-Inventory[[#This Row],[Qty Allocated]],0)</f>
        <v>103</v>
      </c>
      <c r="K290">
        <v>213</v>
      </c>
      <c r="L290" t="s">
        <v>1137</v>
      </c>
      <c r="M290" t="s">
        <v>1138</v>
      </c>
      <c r="N290" t="s">
        <v>1139</v>
      </c>
      <c r="O290" t="s">
        <v>48</v>
      </c>
      <c r="P290" t="s">
        <v>1140</v>
      </c>
      <c r="Q290" t="s">
        <v>40</v>
      </c>
    </row>
    <row r="291" spans="1:17" x14ac:dyDescent="0.25">
      <c r="A291" t="s">
        <v>1103</v>
      </c>
      <c r="B291" t="s">
        <v>789</v>
      </c>
      <c r="C291" t="s">
        <v>19</v>
      </c>
      <c r="D291" t="s">
        <v>229</v>
      </c>
      <c r="E291" t="s">
        <v>122</v>
      </c>
      <c r="F291" t="s">
        <v>83</v>
      </c>
      <c r="G291">
        <v>28202</v>
      </c>
      <c r="H291">
        <v>118</v>
      </c>
      <c r="I291">
        <v>53</v>
      </c>
      <c r="J291" s="4">
        <f>MAX(Inventory[[#This Row],[Qty On Hand]]-Inventory[[#This Row],[Qty Allocated]],0)</f>
        <v>65</v>
      </c>
      <c r="K291">
        <v>156</v>
      </c>
      <c r="L291" t="s">
        <v>1141</v>
      </c>
      <c r="M291" t="s">
        <v>1142</v>
      </c>
      <c r="N291" t="s">
        <v>849</v>
      </c>
      <c r="O291" t="s">
        <v>26</v>
      </c>
      <c r="P291" t="s">
        <v>1143</v>
      </c>
      <c r="Q291" t="s">
        <v>34</v>
      </c>
    </row>
    <row r="292" spans="1:17" x14ac:dyDescent="0.25">
      <c r="A292" t="s">
        <v>1103</v>
      </c>
      <c r="B292" t="s">
        <v>789</v>
      </c>
      <c r="C292" t="s">
        <v>19</v>
      </c>
      <c r="D292" t="s">
        <v>229</v>
      </c>
      <c r="E292" t="s">
        <v>122</v>
      </c>
      <c r="F292" t="s">
        <v>83</v>
      </c>
      <c r="G292">
        <v>28202</v>
      </c>
      <c r="H292">
        <v>117</v>
      </c>
      <c r="I292">
        <v>35</v>
      </c>
      <c r="J292" s="4">
        <f>MAX(Inventory[[#This Row],[Qty On Hand]]-Inventory[[#This Row],[Qty Allocated]],0)</f>
        <v>82</v>
      </c>
      <c r="K292">
        <v>303</v>
      </c>
      <c r="L292" t="s">
        <v>1144</v>
      </c>
      <c r="M292" t="s">
        <v>1145</v>
      </c>
      <c r="N292" t="s">
        <v>1146</v>
      </c>
      <c r="O292" t="s">
        <v>48</v>
      </c>
      <c r="P292" t="s">
        <v>1147</v>
      </c>
      <c r="Q292" t="s">
        <v>28</v>
      </c>
    </row>
    <row r="293" spans="1:17" x14ac:dyDescent="0.25">
      <c r="A293" t="s">
        <v>1103</v>
      </c>
      <c r="B293" t="s">
        <v>789</v>
      </c>
      <c r="C293" t="s">
        <v>19</v>
      </c>
      <c r="D293" t="s">
        <v>229</v>
      </c>
      <c r="E293" t="s">
        <v>122</v>
      </c>
      <c r="F293" t="s">
        <v>83</v>
      </c>
      <c r="G293">
        <v>28202</v>
      </c>
      <c r="H293">
        <v>143</v>
      </c>
      <c r="I293">
        <v>27</v>
      </c>
      <c r="J293" s="4">
        <f>MAX(Inventory[[#This Row],[Qty On Hand]]-Inventory[[#This Row],[Qty Allocated]],0)</f>
        <v>116</v>
      </c>
      <c r="K293">
        <v>309</v>
      </c>
      <c r="L293" t="s">
        <v>1148</v>
      </c>
      <c r="M293" t="s">
        <v>1149</v>
      </c>
      <c r="N293" t="s">
        <v>198</v>
      </c>
      <c r="O293" t="s">
        <v>48</v>
      </c>
      <c r="P293" t="s">
        <v>587</v>
      </c>
      <c r="Q293" t="s">
        <v>40</v>
      </c>
    </row>
    <row r="294" spans="1:17" x14ac:dyDescent="0.25">
      <c r="A294" t="s">
        <v>1150</v>
      </c>
      <c r="B294" t="s">
        <v>789</v>
      </c>
      <c r="C294" t="s">
        <v>19</v>
      </c>
      <c r="D294" t="s">
        <v>229</v>
      </c>
      <c r="E294" t="s">
        <v>790</v>
      </c>
      <c r="F294" t="s">
        <v>62</v>
      </c>
      <c r="G294">
        <v>63101</v>
      </c>
      <c r="H294">
        <v>130</v>
      </c>
      <c r="I294">
        <v>1</v>
      </c>
      <c r="J294" s="4">
        <f>MAX(Inventory[[#This Row],[Qty On Hand]]-Inventory[[#This Row],[Qty Allocated]],0)</f>
        <v>129</v>
      </c>
      <c r="K294">
        <v>341</v>
      </c>
      <c r="L294" t="s">
        <v>1151</v>
      </c>
      <c r="M294" t="s">
        <v>1152</v>
      </c>
      <c r="N294" t="s">
        <v>1153</v>
      </c>
      <c r="O294" t="s">
        <v>26</v>
      </c>
      <c r="P294" t="s">
        <v>655</v>
      </c>
      <c r="Q294" t="s">
        <v>28</v>
      </c>
    </row>
    <row r="295" spans="1:17" x14ac:dyDescent="0.25">
      <c r="A295" t="s">
        <v>1150</v>
      </c>
      <c r="B295" t="s">
        <v>789</v>
      </c>
      <c r="C295" t="s">
        <v>19</v>
      </c>
      <c r="D295" t="s">
        <v>229</v>
      </c>
      <c r="E295" t="s">
        <v>790</v>
      </c>
      <c r="F295" t="s">
        <v>35</v>
      </c>
      <c r="G295">
        <v>75201</v>
      </c>
      <c r="H295">
        <v>193</v>
      </c>
      <c r="I295">
        <v>0</v>
      </c>
      <c r="J295" s="4">
        <f>MAX(Inventory[[#This Row],[Qty On Hand]]-Inventory[[#This Row],[Qty Allocated]],0)</f>
        <v>193</v>
      </c>
      <c r="K295">
        <v>269</v>
      </c>
      <c r="L295" t="s">
        <v>1154</v>
      </c>
      <c r="M295" t="s">
        <v>1155</v>
      </c>
      <c r="N295" t="s">
        <v>1156</v>
      </c>
      <c r="O295" t="s">
        <v>26</v>
      </c>
      <c r="P295" t="s">
        <v>1157</v>
      </c>
      <c r="Q295" t="s">
        <v>28</v>
      </c>
    </row>
    <row r="296" spans="1:17" x14ac:dyDescent="0.25">
      <c r="A296" t="s">
        <v>1150</v>
      </c>
      <c r="B296" t="s">
        <v>789</v>
      </c>
      <c r="C296" t="s">
        <v>19</v>
      </c>
      <c r="D296" t="s">
        <v>229</v>
      </c>
      <c r="E296" t="s">
        <v>790</v>
      </c>
      <c r="F296" t="s">
        <v>29</v>
      </c>
      <c r="G296">
        <v>98072</v>
      </c>
      <c r="H296">
        <v>98</v>
      </c>
      <c r="I296">
        <v>9</v>
      </c>
      <c r="J296" s="4">
        <f>MAX(Inventory[[#This Row],[Qty On Hand]]-Inventory[[#This Row],[Qty Allocated]],0)</f>
        <v>89</v>
      </c>
      <c r="K296">
        <v>273</v>
      </c>
      <c r="L296" t="s">
        <v>1158</v>
      </c>
      <c r="M296" t="s">
        <v>1159</v>
      </c>
      <c r="N296" t="s">
        <v>1160</v>
      </c>
      <c r="O296" t="s">
        <v>26</v>
      </c>
      <c r="P296" t="s">
        <v>1161</v>
      </c>
      <c r="Q296" t="s">
        <v>28</v>
      </c>
    </row>
    <row r="297" spans="1:17" x14ac:dyDescent="0.25">
      <c r="A297" t="s">
        <v>1162</v>
      </c>
      <c r="B297" t="s">
        <v>789</v>
      </c>
      <c r="C297" t="s">
        <v>19</v>
      </c>
      <c r="D297" t="s">
        <v>229</v>
      </c>
      <c r="E297" t="s">
        <v>804</v>
      </c>
      <c r="F297" t="s">
        <v>62</v>
      </c>
      <c r="G297">
        <v>63101</v>
      </c>
      <c r="H297">
        <v>93</v>
      </c>
      <c r="I297">
        <v>7</v>
      </c>
      <c r="J297" s="4">
        <f>MAX(Inventory[[#This Row],[Qty On Hand]]-Inventory[[#This Row],[Qty Allocated]],0)</f>
        <v>86</v>
      </c>
      <c r="K297">
        <v>369</v>
      </c>
      <c r="L297" t="s">
        <v>1163</v>
      </c>
      <c r="M297" t="s">
        <v>1164</v>
      </c>
      <c r="N297" t="s">
        <v>1165</v>
      </c>
      <c r="O297" t="s">
        <v>26</v>
      </c>
      <c r="P297" t="s">
        <v>281</v>
      </c>
      <c r="Q297" t="s">
        <v>92</v>
      </c>
    </row>
    <row r="298" spans="1:17" x14ac:dyDescent="0.25">
      <c r="A298" t="s">
        <v>1162</v>
      </c>
      <c r="B298" t="s">
        <v>789</v>
      </c>
      <c r="C298" t="s">
        <v>19</v>
      </c>
      <c r="D298" t="s">
        <v>229</v>
      </c>
      <c r="E298" t="s">
        <v>804</v>
      </c>
      <c r="F298" t="s">
        <v>35</v>
      </c>
      <c r="G298">
        <v>75201</v>
      </c>
      <c r="H298">
        <v>60</v>
      </c>
      <c r="I298">
        <v>2</v>
      </c>
      <c r="J298" s="4">
        <f>MAX(Inventory[[#This Row],[Qty On Hand]]-Inventory[[#This Row],[Qty Allocated]],0)</f>
        <v>58</v>
      </c>
      <c r="K298">
        <v>206</v>
      </c>
      <c r="L298" t="s">
        <v>1166</v>
      </c>
      <c r="M298" t="s">
        <v>1167</v>
      </c>
      <c r="N298" t="s">
        <v>502</v>
      </c>
      <c r="O298" t="s">
        <v>26</v>
      </c>
      <c r="P298" t="s">
        <v>1168</v>
      </c>
      <c r="Q298" t="s">
        <v>28</v>
      </c>
    </row>
    <row r="299" spans="1:17" x14ac:dyDescent="0.25">
      <c r="A299" t="s">
        <v>1162</v>
      </c>
      <c r="B299" t="s">
        <v>789</v>
      </c>
      <c r="C299" t="s">
        <v>19</v>
      </c>
      <c r="D299" t="s">
        <v>229</v>
      </c>
      <c r="E299" t="s">
        <v>804</v>
      </c>
      <c r="F299" t="s">
        <v>29</v>
      </c>
      <c r="G299">
        <v>98072</v>
      </c>
      <c r="H299">
        <v>175</v>
      </c>
      <c r="I299">
        <v>9</v>
      </c>
      <c r="J299" s="4">
        <f>MAX(Inventory[[#This Row],[Qty On Hand]]-Inventory[[#This Row],[Qty Allocated]],0)</f>
        <v>166</v>
      </c>
      <c r="K299">
        <v>360</v>
      </c>
      <c r="L299" t="s">
        <v>1169</v>
      </c>
      <c r="M299" t="s">
        <v>1170</v>
      </c>
      <c r="N299" t="s">
        <v>156</v>
      </c>
      <c r="O299" t="s">
        <v>26</v>
      </c>
      <c r="P299" t="s">
        <v>1171</v>
      </c>
      <c r="Q299" t="s">
        <v>34</v>
      </c>
    </row>
    <row r="300" spans="1:17" x14ac:dyDescent="0.25">
      <c r="A300" t="s">
        <v>1172</v>
      </c>
      <c r="B300" t="s">
        <v>789</v>
      </c>
      <c r="C300" t="s">
        <v>19</v>
      </c>
      <c r="D300" t="s">
        <v>229</v>
      </c>
      <c r="E300" t="s">
        <v>817</v>
      </c>
      <c r="F300" t="s">
        <v>62</v>
      </c>
      <c r="G300">
        <v>63101</v>
      </c>
      <c r="H300">
        <v>119</v>
      </c>
      <c r="I300">
        <v>0</v>
      </c>
      <c r="J300" s="4">
        <f>MAX(Inventory[[#This Row],[Qty On Hand]]-Inventory[[#This Row],[Qty Allocated]],0)</f>
        <v>119</v>
      </c>
      <c r="K300">
        <v>370</v>
      </c>
      <c r="L300" t="s">
        <v>1173</v>
      </c>
      <c r="M300" t="s">
        <v>1174</v>
      </c>
      <c r="N300" t="s">
        <v>1175</v>
      </c>
      <c r="O300" t="s">
        <v>26</v>
      </c>
      <c r="P300" t="s">
        <v>1176</v>
      </c>
      <c r="Q300" t="s">
        <v>40</v>
      </c>
    </row>
    <row r="301" spans="1:17" x14ac:dyDescent="0.25">
      <c r="A301" t="s">
        <v>1172</v>
      </c>
      <c r="B301" t="s">
        <v>789</v>
      </c>
      <c r="C301" t="s">
        <v>19</v>
      </c>
      <c r="D301" t="s">
        <v>229</v>
      </c>
      <c r="E301" t="s">
        <v>817</v>
      </c>
      <c r="F301" t="s">
        <v>35</v>
      </c>
      <c r="G301">
        <v>75201</v>
      </c>
      <c r="H301">
        <v>86</v>
      </c>
      <c r="I301">
        <v>6</v>
      </c>
      <c r="J301" s="4">
        <f>MAX(Inventory[[#This Row],[Qty On Hand]]-Inventory[[#This Row],[Qty Allocated]],0)</f>
        <v>80</v>
      </c>
      <c r="K301">
        <v>342</v>
      </c>
      <c r="L301" t="s">
        <v>1177</v>
      </c>
      <c r="M301" t="s">
        <v>1178</v>
      </c>
      <c r="N301" t="s">
        <v>1179</v>
      </c>
      <c r="O301" t="s">
        <v>26</v>
      </c>
      <c r="P301" t="s">
        <v>1180</v>
      </c>
      <c r="Q301" t="s">
        <v>34</v>
      </c>
    </row>
    <row r="302" spans="1:17" x14ac:dyDescent="0.25">
      <c r="A302" t="s">
        <v>1172</v>
      </c>
      <c r="B302" t="s">
        <v>789</v>
      </c>
      <c r="C302" t="s">
        <v>19</v>
      </c>
      <c r="D302" t="s">
        <v>229</v>
      </c>
      <c r="E302" t="s">
        <v>817</v>
      </c>
      <c r="F302" t="s">
        <v>29</v>
      </c>
      <c r="G302">
        <v>98072</v>
      </c>
      <c r="H302">
        <v>66</v>
      </c>
      <c r="I302">
        <v>3</v>
      </c>
      <c r="J302" s="4">
        <f>MAX(Inventory[[#This Row],[Qty On Hand]]-Inventory[[#This Row],[Qty Allocated]],0)</f>
        <v>63</v>
      </c>
      <c r="K302">
        <v>361</v>
      </c>
      <c r="L302" t="s">
        <v>1181</v>
      </c>
      <c r="M302" t="s">
        <v>1155</v>
      </c>
      <c r="N302" t="s">
        <v>1182</v>
      </c>
      <c r="O302" t="s">
        <v>26</v>
      </c>
      <c r="P302" t="s">
        <v>1183</v>
      </c>
      <c r="Q302" t="s">
        <v>40</v>
      </c>
    </row>
    <row r="303" spans="1:17" x14ac:dyDescent="0.25">
      <c r="A303" t="s">
        <v>1184</v>
      </c>
      <c r="B303" t="s">
        <v>789</v>
      </c>
      <c r="C303" t="s">
        <v>19</v>
      </c>
      <c r="D303" t="s">
        <v>229</v>
      </c>
      <c r="E303" t="s">
        <v>171</v>
      </c>
      <c r="F303" t="s">
        <v>22</v>
      </c>
      <c r="G303">
        <v>94102</v>
      </c>
      <c r="H303">
        <v>0</v>
      </c>
      <c r="I303">
        <v>0</v>
      </c>
      <c r="J303" s="4">
        <f>MAX(Inventory[[#This Row],[Qty On Hand]]-Inventory[[#This Row],[Qty Allocated]],0)</f>
        <v>0</v>
      </c>
      <c r="K303">
        <v>304</v>
      </c>
      <c r="L303" t="s">
        <v>1185</v>
      </c>
      <c r="M303" t="s">
        <v>1186</v>
      </c>
      <c r="N303" t="s">
        <v>1187</v>
      </c>
      <c r="O303" t="s">
        <v>26</v>
      </c>
      <c r="P303" t="s">
        <v>1188</v>
      </c>
      <c r="Q303" t="s">
        <v>34</v>
      </c>
    </row>
    <row r="304" spans="1:17" x14ac:dyDescent="0.25">
      <c r="A304" t="s">
        <v>1184</v>
      </c>
      <c r="B304" t="s">
        <v>789</v>
      </c>
      <c r="C304" t="s">
        <v>19</v>
      </c>
      <c r="D304" t="s">
        <v>229</v>
      </c>
      <c r="E304" t="s">
        <v>171</v>
      </c>
      <c r="F304" t="s">
        <v>29</v>
      </c>
      <c r="G304">
        <v>98072</v>
      </c>
      <c r="H304">
        <v>111</v>
      </c>
      <c r="I304">
        <v>80</v>
      </c>
      <c r="J304" s="4">
        <f>MAX(Inventory[[#This Row],[Qty On Hand]]-Inventory[[#This Row],[Qty Allocated]],0)</f>
        <v>31</v>
      </c>
      <c r="K304">
        <v>378</v>
      </c>
      <c r="L304" t="s">
        <v>1189</v>
      </c>
      <c r="M304" t="s">
        <v>1190</v>
      </c>
      <c r="N304" t="s">
        <v>594</v>
      </c>
      <c r="O304" t="s">
        <v>26</v>
      </c>
      <c r="P304" t="s">
        <v>1191</v>
      </c>
      <c r="Q304" t="s">
        <v>34</v>
      </c>
    </row>
    <row r="305" spans="1:17" x14ac:dyDescent="0.25">
      <c r="A305" t="s">
        <v>1184</v>
      </c>
      <c r="B305" t="s">
        <v>789</v>
      </c>
      <c r="C305" t="s">
        <v>19</v>
      </c>
      <c r="D305" t="s">
        <v>229</v>
      </c>
      <c r="E305" t="s">
        <v>171</v>
      </c>
      <c r="F305" t="s">
        <v>35</v>
      </c>
      <c r="G305">
        <v>75201</v>
      </c>
      <c r="H305">
        <v>114</v>
      </c>
      <c r="I305">
        <v>85</v>
      </c>
      <c r="J305" s="4">
        <f>MAX(Inventory[[#This Row],[Qty On Hand]]-Inventory[[#This Row],[Qty Allocated]],0)</f>
        <v>29</v>
      </c>
      <c r="K305">
        <v>344</v>
      </c>
      <c r="L305" t="s">
        <v>1192</v>
      </c>
      <c r="M305" t="s">
        <v>1193</v>
      </c>
      <c r="N305" t="s">
        <v>43</v>
      </c>
      <c r="O305" t="s">
        <v>48</v>
      </c>
      <c r="P305" t="s">
        <v>891</v>
      </c>
      <c r="Q305" t="s">
        <v>40</v>
      </c>
    </row>
    <row r="306" spans="1:17" x14ac:dyDescent="0.25">
      <c r="A306" t="s">
        <v>1184</v>
      </c>
      <c r="B306" t="s">
        <v>789</v>
      </c>
      <c r="C306" t="s">
        <v>19</v>
      </c>
      <c r="D306" t="s">
        <v>229</v>
      </c>
      <c r="E306" t="s">
        <v>171</v>
      </c>
      <c r="F306" t="s">
        <v>35</v>
      </c>
      <c r="G306">
        <v>75201</v>
      </c>
      <c r="H306">
        <v>67</v>
      </c>
      <c r="I306">
        <v>61</v>
      </c>
      <c r="J306" s="4">
        <f>MAX(Inventory[[#This Row],[Qty On Hand]]-Inventory[[#This Row],[Qty Allocated]],0)</f>
        <v>6</v>
      </c>
      <c r="K306">
        <v>253</v>
      </c>
      <c r="L306" t="s">
        <v>1194</v>
      </c>
      <c r="M306" t="s">
        <v>1195</v>
      </c>
      <c r="N306" t="s">
        <v>1196</v>
      </c>
      <c r="O306" t="s">
        <v>26</v>
      </c>
      <c r="P306" t="s">
        <v>1197</v>
      </c>
      <c r="Q306" t="s">
        <v>92</v>
      </c>
    </row>
    <row r="307" spans="1:17" x14ac:dyDescent="0.25">
      <c r="A307" t="s">
        <v>1184</v>
      </c>
      <c r="B307" t="s">
        <v>789</v>
      </c>
      <c r="C307" t="s">
        <v>19</v>
      </c>
      <c r="D307" t="s">
        <v>229</v>
      </c>
      <c r="E307" t="s">
        <v>171</v>
      </c>
      <c r="F307" t="s">
        <v>35</v>
      </c>
      <c r="G307">
        <v>75201</v>
      </c>
      <c r="H307">
        <v>175</v>
      </c>
      <c r="I307">
        <v>64</v>
      </c>
      <c r="J307" s="4">
        <f>MAX(Inventory[[#This Row],[Qty On Hand]]-Inventory[[#This Row],[Qty Allocated]],0)</f>
        <v>111</v>
      </c>
      <c r="K307">
        <v>161</v>
      </c>
      <c r="L307" t="s">
        <v>1198</v>
      </c>
      <c r="M307" t="s">
        <v>1199</v>
      </c>
      <c r="N307" t="s">
        <v>658</v>
      </c>
      <c r="O307" t="s">
        <v>48</v>
      </c>
      <c r="P307" t="s">
        <v>1200</v>
      </c>
      <c r="Q307" t="s">
        <v>40</v>
      </c>
    </row>
    <row r="308" spans="1:17" x14ac:dyDescent="0.25">
      <c r="A308" t="s">
        <v>1184</v>
      </c>
      <c r="B308" t="s">
        <v>789</v>
      </c>
      <c r="C308" t="s">
        <v>19</v>
      </c>
      <c r="D308" t="s">
        <v>229</v>
      </c>
      <c r="E308" t="s">
        <v>171</v>
      </c>
      <c r="F308" t="s">
        <v>35</v>
      </c>
      <c r="G308">
        <v>75201</v>
      </c>
      <c r="H308">
        <v>151</v>
      </c>
      <c r="I308">
        <v>16</v>
      </c>
      <c r="J308" s="4">
        <f>MAX(Inventory[[#This Row],[Qty On Hand]]-Inventory[[#This Row],[Qty Allocated]],0)</f>
        <v>135</v>
      </c>
      <c r="K308">
        <v>238</v>
      </c>
      <c r="L308" t="s">
        <v>1201</v>
      </c>
      <c r="M308" t="s">
        <v>1202</v>
      </c>
      <c r="N308" t="s">
        <v>1203</v>
      </c>
      <c r="O308" t="s">
        <v>26</v>
      </c>
      <c r="P308" t="s">
        <v>351</v>
      </c>
      <c r="Q308" t="s">
        <v>28</v>
      </c>
    </row>
    <row r="309" spans="1:17" x14ac:dyDescent="0.25">
      <c r="A309" t="s">
        <v>1184</v>
      </c>
      <c r="B309" t="s">
        <v>789</v>
      </c>
      <c r="C309" t="s">
        <v>19</v>
      </c>
      <c r="D309" t="s">
        <v>229</v>
      </c>
      <c r="E309" t="s">
        <v>171</v>
      </c>
      <c r="F309" t="s">
        <v>35</v>
      </c>
      <c r="G309">
        <v>75201</v>
      </c>
      <c r="H309">
        <v>124</v>
      </c>
      <c r="I309">
        <v>56</v>
      </c>
      <c r="J309" s="4">
        <f>MAX(Inventory[[#This Row],[Qty On Hand]]-Inventory[[#This Row],[Qty Allocated]],0)</f>
        <v>68</v>
      </c>
      <c r="K309">
        <v>210</v>
      </c>
      <c r="L309" t="s">
        <v>1204</v>
      </c>
      <c r="M309" t="s">
        <v>1205</v>
      </c>
      <c r="N309" t="s">
        <v>1206</v>
      </c>
      <c r="O309" t="s">
        <v>26</v>
      </c>
      <c r="P309" t="s">
        <v>292</v>
      </c>
      <c r="Q309" t="s">
        <v>40</v>
      </c>
    </row>
    <row r="310" spans="1:17" x14ac:dyDescent="0.25">
      <c r="A310" t="s">
        <v>1184</v>
      </c>
      <c r="B310" t="s">
        <v>789</v>
      </c>
      <c r="C310" t="s">
        <v>19</v>
      </c>
      <c r="D310" t="s">
        <v>229</v>
      </c>
      <c r="E310" t="s">
        <v>171</v>
      </c>
      <c r="F310" t="s">
        <v>35</v>
      </c>
      <c r="G310">
        <v>75201</v>
      </c>
      <c r="H310">
        <v>157</v>
      </c>
      <c r="I310">
        <v>64</v>
      </c>
      <c r="J310" s="4">
        <f>MAX(Inventory[[#This Row],[Qty On Hand]]-Inventory[[#This Row],[Qty Allocated]],0)</f>
        <v>93</v>
      </c>
      <c r="K310">
        <v>182</v>
      </c>
      <c r="L310" t="s">
        <v>1207</v>
      </c>
      <c r="M310" t="s">
        <v>1208</v>
      </c>
      <c r="N310" t="s">
        <v>1209</v>
      </c>
      <c r="O310" t="s">
        <v>26</v>
      </c>
      <c r="P310" t="s">
        <v>1210</v>
      </c>
      <c r="Q310" t="s">
        <v>28</v>
      </c>
    </row>
    <row r="311" spans="1:17" x14ac:dyDescent="0.25">
      <c r="A311" t="s">
        <v>1184</v>
      </c>
      <c r="B311" t="s">
        <v>789</v>
      </c>
      <c r="C311" t="s">
        <v>19</v>
      </c>
      <c r="D311" t="s">
        <v>229</v>
      </c>
      <c r="E311" t="s">
        <v>171</v>
      </c>
      <c r="F311" t="s">
        <v>62</v>
      </c>
      <c r="G311">
        <v>63101</v>
      </c>
      <c r="H311">
        <v>83</v>
      </c>
      <c r="I311">
        <v>44</v>
      </c>
      <c r="J311" s="4">
        <f>MAX(Inventory[[#This Row],[Qty On Hand]]-Inventory[[#This Row],[Qty Allocated]],0)</f>
        <v>39</v>
      </c>
      <c r="K311">
        <v>160</v>
      </c>
      <c r="L311" t="s">
        <v>1211</v>
      </c>
      <c r="M311" t="s">
        <v>1212</v>
      </c>
      <c r="N311" t="s">
        <v>1213</v>
      </c>
      <c r="O311" t="s">
        <v>26</v>
      </c>
      <c r="P311" t="s">
        <v>1214</v>
      </c>
      <c r="Q311" t="s">
        <v>28</v>
      </c>
    </row>
    <row r="312" spans="1:17" x14ac:dyDescent="0.25">
      <c r="A312" t="s">
        <v>1184</v>
      </c>
      <c r="B312" t="s">
        <v>789</v>
      </c>
      <c r="C312" t="s">
        <v>19</v>
      </c>
      <c r="D312" t="s">
        <v>229</v>
      </c>
      <c r="E312" t="s">
        <v>171</v>
      </c>
      <c r="F312" t="s">
        <v>62</v>
      </c>
      <c r="G312">
        <v>63101</v>
      </c>
      <c r="H312">
        <v>126</v>
      </c>
      <c r="I312">
        <v>53</v>
      </c>
      <c r="J312" s="4">
        <f>MAX(Inventory[[#This Row],[Qty On Hand]]-Inventory[[#This Row],[Qty Allocated]],0)</f>
        <v>73</v>
      </c>
      <c r="K312">
        <v>129</v>
      </c>
      <c r="L312" t="s">
        <v>1215</v>
      </c>
      <c r="M312" t="s">
        <v>1216</v>
      </c>
      <c r="N312" t="s">
        <v>194</v>
      </c>
      <c r="O312" t="s">
        <v>26</v>
      </c>
      <c r="P312" t="s">
        <v>798</v>
      </c>
      <c r="Q312" t="s">
        <v>92</v>
      </c>
    </row>
    <row r="313" spans="1:17" x14ac:dyDescent="0.25">
      <c r="A313" t="s">
        <v>1184</v>
      </c>
      <c r="B313" t="s">
        <v>789</v>
      </c>
      <c r="C313" t="s">
        <v>19</v>
      </c>
      <c r="D313" t="s">
        <v>229</v>
      </c>
      <c r="E313" t="s">
        <v>171</v>
      </c>
      <c r="F313" t="s">
        <v>62</v>
      </c>
      <c r="G313">
        <v>63101</v>
      </c>
      <c r="H313">
        <v>89</v>
      </c>
      <c r="I313">
        <v>68</v>
      </c>
      <c r="J313" s="4">
        <f>MAX(Inventory[[#This Row],[Qty On Hand]]-Inventory[[#This Row],[Qty Allocated]],0)</f>
        <v>21</v>
      </c>
      <c r="K313">
        <v>361</v>
      </c>
      <c r="L313" t="s">
        <v>1217</v>
      </c>
      <c r="M313" t="s">
        <v>1218</v>
      </c>
      <c r="N313" t="s">
        <v>1219</v>
      </c>
      <c r="O313" t="s">
        <v>26</v>
      </c>
      <c r="P313" t="s">
        <v>369</v>
      </c>
      <c r="Q313" t="s">
        <v>34</v>
      </c>
    </row>
    <row r="314" spans="1:17" x14ac:dyDescent="0.25">
      <c r="A314" t="s">
        <v>1184</v>
      </c>
      <c r="B314" t="s">
        <v>789</v>
      </c>
      <c r="C314" t="s">
        <v>19</v>
      </c>
      <c r="D314" t="s">
        <v>229</v>
      </c>
      <c r="E314" t="s">
        <v>171</v>
      </c>
      <c r="F314" t="s">
        <v>83</v>
      </c>
      <c r="G314">
        <v>28202</v>
      </c>
      <c r="H314">
        <v>67</v>
      </c>
      <c r="I314">
        <v>63</v>
      </c>
      <c r="J314" s="4">
        <f>MAX(Inventory[[#This Row],[Qty On Hand]]-Inventory[[#This Row],[Qty Allocated]],0)</f>
        <v>4</v>
      </c>
      <c r="K314">
        <v>278</v>
      </c>
      <c r="L314" t="s">
        <v>1220</v>
      </c>
      <c r="M314" t="s">
        <v>1221</v>
      </c>
      <c r="N314" t="s">
        <v>1222</v>
      </c>
      <c r="O314" t="s">
        <v>26</v>
      </c>
      <c r="P314" t="s">
        <v>1223</v>
      </c>
      <c r="Q314" t="s">
        <v>92</v>
      </c>
    </row>
    <row r="315" spans="1:17" x14ac:dyDescent="0.25">
      <c r="A315" t="s">
        <v>1184</v>
      </c>
      <c r="B315" t="s">
        <v>789</v>
      </c>
      <c r="C315" t="s">
        <v>19</v>
      </c>
      <c r="D315" t="s">
        <v>229</v>
      </c>
      <c r="E315" t="s">
        <v>171</v>
      </c>
      <c r="F315" t="s">
        <v>83</v>
      </c>
      <c r="G315">
        <v>28202</v>
      </c>
      <c r="H315">
        <v>162</v>
      </c>
      <c r="I315">
        <v>96</v>
      </c>
      <c r="J315" s="4">
        <f>MAX(Inventory[[#This Row],[Qty On Hand]]-Inventory[[#This Row],[Qty Allocated]],0)</f>
        <v>66</v>
      </c>
      <c r="K315">
        <v>231</v>
      </c>
      <c r="L315" t="s">
        <v>1224</v>
      </c>
      <c r="M315" t="s">
        <v>1225</v>
      </c>
      <c r="N315" t="s">
        <v>1106</v>
      </c>
      <c r="O315" t="s">
        <v>48</v>
      </c>
      <c r="P315" t="s">
        <v>1226</v>
      </c>
      <c r="Q315" t="s">
        <v>28</v>
      </c>
    </row>
    <row r="316" spans="1:17" x14ac:dyDescent="0.25">
      <c r="A316" t="s">
        <v>1184</v>
      </c>
      <c r="B316" t="s">
        <v>789</v>
      </c>
      <c r="C316" t="s">
        <v>19</v>
      </c>
      <c r="D316" t="s">
        <v>229</v>
      </c>
      <c r="E316" t="s">
        <v>171</v>
      </c>
      <c r="F316" t="s">
        <v>83</v>
      </c>
      <c r="G316">
        <v>28202</v>
      </c>
      <c r="H316">
        <v>114</v>
      </c>
      <c r="I316">
        <v>88</v>
      </c>
      <c r="J316" s="4">
        <f>MAX(Inventory[[#This Row],[Qty On Hand]]-Inventory[[#This Row],[Qty Allocated]],0)</f>
        <v>26</v>
      </c>
      <c r="K316">
        <v>257</v>
      </c>
      <c r="L316" t="s">
        <v>1227</v>
      </c>
      <c r="M316" t="s">
        <v>1228</v>
      </c>
      <c r="N316" t="s">
        <v>1229</v>
      </c>
      <c r="O316" t="s">
        <v>26</v>
      </c>
      <c r="P316" t="s">
        <v>126</v>
      </c>
      <c r="Q316" t="s">
        <v>92</v>
      </c>
    </row>
    <row r="317" spans="1:17" x14ac:dyDescent="0.25">
      <c r="A317" t="s">
        <v>1230</v>
      </c>
      <c r="B317" t="s">
        <v>789</v>
      </c>
      <c r="C317" t="s">
        <v>19</v>
      </c>
      <c r="D317" t="s">
        <v>229</v>
      </c>
      <c r="E317" t="s">
        <v>830</v>
      </c>
      <c r="F317" t="s">
        <v>62</v>
      </c>
      <c r="G317">
        <v>63101</v>
      </c>
      <c r="H317">
        <v>197</v>
      </c>
      <c r="I317">
        <v>1</v>
      </c>
      <c r="J317" s="4">
        <f>MAX(Inventory[[#This Row],[Qty On Hand]]-Inventory[[#This Row],[Qty Allocated]],0)</f>
        <v>196</v>
      </c>
      <c r="K317">
        <v>247</v>
      </c>
      <c r="L317" t="s">
        <v>1231</v>
      </c>
      <c r="M317" t="s">
        <v>1232</v>
      </c>
      <c r="N317" t="s">
        <v>1233</v>
      </c>
      <c r="O317" t="s">
        <v>26</v>
      </c>
      <c r="P317" t="s">
        <v>1234</v>
      </c>
      <c r="Q317" t="s">
        <v>40</v>
      </c>
    </row>
    <row r="318" spans="1:17" x14ac:dyDescent="0.25">
      <c r="A318" t="s">
        <v>1230</v>
      </c>
      <c r="B318" t="s">
        <v>789</v>
      </c>
      <c r="C318" t="s">
        <v>19</v>
      </c>
      <c r="D318" t="s">
        <v>229</v>
      </c>
      <c r="E318" t="s">
        <v>830</v>
      </c>
      <c r="F318" t="s">
        <v>35</v>
      </c>
      <c r="G318">
        <v>75201</v>
      </c>
      <c r="H318">
        <v>184</v>
      </c>
      <c r="I318">
        <v>1</v>
      </c>
      <c r="J318" s="4">
        <f>MAX(Inventory[[#This Row],[Qty On Hand]]-Inventory[[#This Row],[Qty Allocated]],0)</f>
        <v>183</v>
      </c>
      <c r="K318">
        <v>306</v>
      </c>
      <c r="L318" t="s">
        <v>1235</v>
      </c>
      <c r="M318" t="s">
        <v>1236</v>
      </c>
      <c r="N318" t="s">
        <v>1187</v>
      </c>
      <c r="O318" t="s">
        <v>26</v>
      </c>
      <c r="P318" t="s">
        <v>1237</v>
      </c>
      <c r="Q318" t="s">
        <v>34</v>
      </c>
    </row>
    <row r="319" spans="1:17" x14ac:dyDescent="0.25">
      <c r="A319" t="s">
        <v>1230</v>
      </c>
      <c r="B319" t="s">
        <v>789</v>
      </c>
      <c r="C319" t="s">
        <v>19</v>
      </c>
      <c r="D319" t="s">
        <v>229</v>
      </c>
      <c r="E319" t="s">
        <v>830</v>
      </c>
      <c r="F319" t="s">
        <v>29</v>
      </c>
      <c r="G319">
        <v>98072</v>
      </c>
      <c r="H319">
        <v>78</v>
      </c>
      <c r="I319">
        <v>7</v>
      </c>
      <c r="J319" s="4">
        <f>MAX(Inventory[[#This Row],[Qty On Hand]]-Inventory[[#This Row],[Qty Allocated]],0)</f>
        <v>71</v>
      </c>
      <c r="K319">
        <v>208</v>
      </c>
      <c r="L319" t="s">
        <v>1238</v>
      </c>
      <c r="M319" t="s">
        <v>1239</v>
      </c>
      <c r="N319" t="s">
        <v>700</v>
      </c>
      <c r="O319" t="s">
        <v>26</v>
      </c>
      <c r="P319" t="s">
        <v>1240</v>
      </c>
      <c r="Q319" t="s">
        <v>40</v>
      </c>
    </row>
    <row r="320" spans="1:17" x14ac:dyDescent="0.25">
      <c r="A320" t="s">
        <v>1241</v>
      </c>
      <c r="B320" t="s">
        <v>789</v>
      </c>
      <c r="C320" t="s">
        <v>19</v>
      </c>
      <c r="D320" t="s">
        <v>229</v>
      </c>
      <c r="E320" t="s">
        <v>843</v>
      </c>
      <c r="F320" t="s">
        <v>62</v>
      </c>
      <c r="G320">
        <v>63101</v>
      </c>
      <c r="H320">
        <v>73</v>
      </c>
      <c r="I320">
        <v>2</v>
      </c>
      <c r="J320" s="4">
        <f>MAX(Inventory[[#This Row],[Qty On Hand]]-Inventory[[#This Row],[Qty Allocated]],0)</f>
        <v>71</v>
      </c>
      <c r="K320">
        <v>217</v>
      </c>
      <c r="L320" t="s">
        <v>1242</v>
      </c>
      <c r="M320" t="s">
        <v>1243</v>
      </c>
      <c r="N320" t="s">
        <v>714</v>
      </c>
      <c r="O320" t="s">
        <v>26</v>
      </c>
      <c r="P320" t="s">
        <v>1244</v>
      </c>
      <c r="Q320" t="s">
        <v>40</v>
      </c>
    </row>
    <row r="321" spans="1:17" x14ac:dyDescent="0.25">
      <c r="A321" t="s">
        <v>1241</v>
      </c>
      <c r="B321" t="s">
        <v>789</v>
      </c>
      <c r="C321" t="s">
        <v>19</v>
      </c>
      <c r="D321" t="s">
        <v>229</v>
      </c>
      <c r="E321" t="s">
        <v>843</v>
      </c>
      <c r="F321" t="s">
        <v>35</v>
      </c>
      <c r="G321">
        <v>75201</v>
      </c>
      <c r="H321">
        <v>71</v>
      </c>
      <c r="I321">
        <v>4</v>
      </c>
      <c r="J321" s="4">
        <f>MAX(Inventory[[#This Row],[Qty On Hand]]-Inventory[[#This Row],[Qty Allocated]],0)</f>
        <v>67</v>
      </c>
      <c r="K321">
        <v>281</v>
      </c>
      <c r="L321" t="s">
        <v>1245</v>
      </c>
      <c r="M321" t="s">
        <v>1246</v>
      </c>
      <c r="N321" t="s">
        <v>1247</v>
      </c>
      <c r="O321" t="s">
        <v>26</v>
      </c>
      <c r="P321" t="s">
        <v>1248</v>
      </c>
      <c r="Q321" t="s">
        <v>28</v>
      </c>
    </row>
    <row r="322" spans="1:17" x14ac:dyDescent="0.25">
      <c r="A322" t="s">
        <v>1241</v>
      </c>
      <c r="B322" t="s">
        <v>789</v>
      </c>
      <c r="C322" t="s">
        <v>19</v>
      </c>
      <c r="D322" t="s">
        <v>229</v>
      </c>
      <c r="E322" t="s">
        <v>843</v>
      </c>
      <c r="F322" t="s">
        <v>29</v>
      </c>
      <c r="G322">
        <v>98072</v>
      </c>
      <c r="H322">
        <v>84</v>
      </c>
      <c r="I322">
        <v>3</v>
      </c>
      <c r="J322" s="4">
        <f>MAX(Inventory[[#This Row],[Qty On Hand]]-Inventory[[#This Row],[Qty Allocated]],0)</f>
        <v>81</v>
      </c>
      <c r="K322">
        <v>205</v>
      </c>
      <c r="L322" t="s">
        <v>1249</v>
      </c>
      <c r="M322" t="s">
        <v>1250</v>
      </c>
      <c r="N322" t="s">
        <v>1251</v>
      </c>
      <c r="O322" t="s">
        <v>26</v>
      </c>
      <c r="P322" t="s">
        <v>1252</v>
      </c>
      <c r="Q322" t="s">
        <v>92</v>
      </c>
    </row>
    <row r="323" spans="1:17" x14ac:dyDescent="0.25">
      <c r="A323" t="s">
        <v>1253</v>
      </c>
      <c r="B323" t="s">
        <v>789</v>
      </c>
      <c r="C323" t="s">
        <v>19</v>
      </c>
      <c r="D323" t="s">
        <v>434</v>
      </c>
      <c r="E323" t="s">
        <v>21</v>
      </c>
      <c r="F323" t="s">
        <v>22</v>
      </c>
      <c r="G323">
        <v>94102</v>
      </c>
      <c r="H323">
        <v>3</v>
      </c>
      <c r="I323">
        <v>2</v>
      </c>
      <c r="J323" s="4">
        <f>MAX(Inventory[[#This Row],[Qty On Hand]]-Inventory[[#This Row],[Qty Allocated]],0)</f>
        <v>1</v>
      </c>
      <c r="K323">
        <v>534</v>
      </c>
      <c r="L323" t="s">
        <v>1254</v>
      </c>
      <c r="M323" t="s">
        <v>1255</v>
      </c>
      <c r="N323" t="s">
        <v>1256</v>
      </c>
      <c r="O323" t="s">
        <v>26</v>
      </c>
      <c r="P323" t="s">
        <v>1257</v>
      </c>
      <c r="Q323" t="s">
        <v>34</v>
      </c>
    </row>
    <row r="324" spans="1:17" x14ac:dyDescent="0.25">
      <c r="A324" t="s">
        <v>1253</v>
      </c>
      <c r="B324" t="s">
        <v>789</v>
      </c>
      <c r="C324" t="s">
        <v>19</v>
      </c>
      <c r="D324" t="s">
        <v>434</v>
      </c>
      <c r="E324" t="s">
        <v>21</v>
      </c>
      <c r="F324" t="s">
        <v>29</v>
      </c>
      <c r="G324">
        <v>98072</v>
      </c>
      <c r="H324">
        <v>267</v>
      </c>
      <c r="I324">
        <v>84</v>
      </c>
      <c r="J324" s="4">
        <f>MAX(Inventory[[#This Row],[Qty On Hand]]-Inventory[[#This Row],[Qty Allocated]],0)</f>
        <v>183</v>
      </c>
      <c r="K324">
        <v>239</v>
      </c>
      <c r="L324" t="s">
        <v>1258</v>
      </c>
      <c r="M324" t="s">
        <v>1259</v>
      </c>
      <c r="N324" t="s">
        <v>1260</v>
      </c>
      <c r="O324" t="s">
        <v>26</v>
      </c>
      <c r="P324" t="s">
        <v>1261</v>
      </c>
      <c r="Q324" t="s">
        <v>28</v>
      </c>
    </row>
    <row r="325" spans="1:17" x14ac:dyDescent="0.25">
      <c r="A325" t="s">
        <v>1253</v>
      </c>
      <c r="B325" t="s">
        <v>789</v>
      </c>
      <c r="C325" t="s">
        <v>19</v>
      </c>
      <c r="D325" t="s">
        <v>434</v>
      </c>
      <c r="E325" t="s">
        <v>21</v>
      </c>
      <c r="F325" t="s">
        <v>35</v>
      </c>
      <c r="G325">
        <v>75201</v>
      </c>
      <c r="H325">
        <v>76</v>
      </c>
      <c r="I325">
        <v>52</v>
      </c>
      <c r="J325" s="4">
        <f>MAX(Inventory[[#This Row],[Qty On Hand]]-Inventory[[#This Row],[Qty Allocated]],0)</f>
        <v>24</v>
      </c>
      <c r="K325">
        <v>324</v>
      </c>
      <c r="L325" t="s">
        <v>1262</v>
      </c>
      <c r="M325" t="s">
        <v>1263</v>
      </c>
      <c r="N325" t="s">
        <v>1015</v>
      </c>
      <c r="O325" t="s">
        <v>48</v>
      </c>
      <c r="P325" t="s">
        <v>941</v>
      </c>
      <c r="Q325" t="s">
        <v>40</v>
      </c>
    </row>
    <row r="326" spans="1:17" x14ac:dyDescent="0.25">
      <c r="A326" t="s">
        <v>1253</v>
      </c>
      <c r="B326" t="s">
        <v>789</v>
      </c>
      <c r="C326" t="s">
        <v>19</v>
      </c>
      <c r="D326" t="s">
        <v>434</v>
      </c>
      <c r="E326" t="s">
        <v>21</v>
      </c>
      <c r="F326" t="s">
        <v>35</v>
      </c>
      <c r="G326">
        <v>75201</v>
      </c>
      <c r="H326">
        <v>122</v>
      </c>
      <c r="I326">
        <v>27</v>
      </c>
      <c r="J326" s="4">
        <f>MAX(Inventory[[#This Row],[Qty On Hand]]-Inventory[[#This Row],[Qty Allocated]],0)</f>
        <v>95</v>
      </c>
      <c r="K326">
        <v>399</v>
      </c>
      <c r="L326" t="s">
        <v>1264</v>
      </c>
      <c r="M326" t="s">
        <v>1265</v>
      </c>
      <c r="N326" t="s">
        <v>725</v>
      </c>
      <c r="O326" t="s">
        <v>26</v>
      </c>
      <c r="P326" t="s">
        <v>1266</v>
      </c>
      <c r="Q326" t="s">
        <v>28</v>
      </c>
    </row>
    <row r="327" spans="1:17" x14ac:dyDescent="0.25">
      <c r="A327" t="s">
        <v>1253</v>
      </c>
      <c r="B327" t="s">
        <v>789</v>
      </c>
      <c r="C327" t="s">
        <v>19</v>
      </c>
      <c r="D327" t="s">
        <v>434</v>
      </c>
      <c r="E327" t="s">
        <v>21</v>
      </c>
      <c r="F327" t="s">
        <v>35</v>
      </c>
      <c r="G327">
        <v>75201</v>
      </c>
      <c r="H327">
        <v>94</v>
      </c>
      <c r="I327">
        <v>71</v>
      </c>
      <c r="J327" s="4">
        <f>MAX(Inventory[[#This Row],[Qty On Hand]]-Inventory[[#This Row],[Qty Allocated]],0)</f>
        <v>23</v>
      </c>
      <c r="K327">
        <v>158</v>
      </c>
      <c r="L327" t="s">
        <v>1267</v>
      </c>
      <c r="M327" t="s">
        <v>1268</v>
      </c>
      <c r="N327" t="s">
        <v>385</v>
      </c>
      <c r="O327" t="s">
        <v>26</v>
      </c>
      <c r="P327" t="s">
        <v>1269</v>
      </c>
      <c r="Q327" t="s">
        <v>28</v>
      </c>
    </row>
    <row r="328" spans="1:17" x14ac:dyDescent="0.25">
      <c r="A328" t="s">
        <v>1253</v>
      </c>
      <c r="B328" t="s">
        <v>789</v>
      </c>
      <c r="C328" t="s">
        <v>19</v>
      </c>
      <c r="D328" t="s">
        <v>434</v>
      </c>
      <c r="E328" t="s">
        <v>21</v>
      </c>
      <c r="F328" t="s">
        <v>35</v>
      </c>
      <c r="G328">
        <v>75201</v>
      </c>
      <c r="H328">
        <v>129</v>
      </c>
      <c r="I328">
        <v>65</v>
      </c>
      <c r="J328" s="4">
        <f>MAX(Inventory[[#This Row],[Qty On Hand]]-Inventory[[#This Row],[Qty Allocated]],0)</f>
        <v>64</v>
      </c>
      <c r="K328">
        <v>364</v>
      </c>
      <c r="L328" t="s">
        <v>1270</v>
      </c>
      <c r="M328" t="s">
        <v>1271</v>
      </c>
      <c r="N328" t="s">
        <v>1272</v>
      </c>
      <c r="O328" t="s">
        <v>26</v>
      </c>
      <c r="P328" t="s">
        <v>1273</v>
      </c>
      <c r="Q328" t="s">
        <v>92</v>
      </c>
    </row>
    <row r="329" spans="1:17" x14ac:dyDescent="0.25">
      <c r="A329" t="s">
        <v>1253</v>
      </c>
      <c r="B329" t="s">
        <v>789</v>
      </c>
      <c r="C329" t="s">
        <v>19</v>
      </c>
      <c r="D329" t="s">
        <v>434</v>
      </c>
      <c r="E329" t="s">
        <v>21</v>
      </c>
      <c r="F329" t="s">
        <v>35</v>
      </c>
      <c r="G329">
        <v>75201</v>
      </c>
      <c r="H329">
        <v>80</v>
      </c>
      <c r="I329">
        <v>64</v>
      </c>
      <c r="J329" s="4">
        <f>MAX(Inventory[[#This Row],[Qty On Hand]]-Inventory[[#This Row],[Qty Allocated]],0)</f>
        <v>16</v>
      </c>
      <c r="K329">
        <v>327</v>
      </c>
      <c r="L329" t="s">
        <v>1274</v>
      </c>
      <c r="M329" t="s">
        <v>1275</v>
      </c>
      <c r="N329" t="s">
        <v>1276</v>
      </c>
      <c r="O329" t="s">
        <v>26</v>
      </c>
      <c r="P329" t="s">
        <v>1277</v>
      </c>
      <c r="Q329" t="s">
        <v>40</v>
      </c>
    </row>
    <row r="330" spans="1:17" x14ac:dyDescent="0.25">
      <c r="A330" t="s">
        <v>1253</v>
      </c>
      <c r="B330" t="s">
        <v>789</v>
      </c>
      <c r="C330" t="s">
        <v>19</v>
      </c>
      <c r="D330" t="s">
        <v>434</v>
      </c>
      <c r="E330" t="s">
        <v>21</v>
      </c>
      <c r="F330" t="s">
        <v>35</v>
      </c>
      <c r="G330">
        <v>75201</v>
      </c>
      <c r="H330">
        <v>156</v>
      </c>
      <c r="I330">
        <v>99</v>
      </c>
      <c r="J330" s="4">
        <f>MAX(Inventory[[#This Row],[Qty On Hand]]-Inventory[[#This Row],[Qty Allocated]],0)</f>
        <v>57</v>
      </c>
      <c r="K330">
        <v>113</v>
      </c>
      <c r="L330" t="s">
        <v>610</v>
      </c>
      <c r="M330" t="s">
        <v>1278</v>
      </c>
      <c r="N330" t="s">
        <v>1279</v>
      </c>
      <c r="O330" t="s">
        <v>48</v>
      </c>
      <c r="P330" t="s">
        <v>1171</v>
      </c>
      <c r="Q330" t="s">
        <v>40</v>
      </c>
    </row>
    <row r="331" spans="1:17" x14ac:dyDescent="0.25">
      <c r="A331" t="s">
        <v>1253</v>
      </c>
      <c r="B331" t="s">
        <v>789</v>
      </c>
      <c r="C331" t="s">
        <v>19</v>
      </c>
      <c r="D331" t="s">
        <v>434</v>
      </c>
      <c r="E331" t="s">
        <v>21</v>
      </c>
      <c r="F331" t="s">
        <v>62</v>
      </c>
      <c r="G331">
        <v>63101</v>
      </c>
      <c r="H331">
        <v>116</v>
      </c>
      <c r="I331">
        <v>73</v>
      </c>
      <c r="J331" s="4">
        <f>MAX(Inventory[[#This Row],[Qty On Hand]]-Inventory[[#This Row],[Qty Allocated]],0)</f>
        <v>43</v>
      </c>
      <c r="K331">
        <v>249</v>
      </c>
      <c r="L331" t="s">
        <v>1280</v>
      </c>
      <c r="M331" t="s">
        <v>1281</v>
      </c>
      <c r="N331" t="s">
        <v>1282</v>
      </c>
      <c r="O331" t="s">
        <v>48</v>
      </c>
      <c r="P331" t="s">
        <v>1283</v>
      </c>
      <c r="Q331" t="s">
        <v>40</v>
      </c>
    </row>
    <row r="332" spans="1:17" x14ac:dyDescent="0.25">
      <c r="A332" t="s">
        <v>1253</v>
      </c>
      <c r="B332" t="s">
        <v>789</v>
      </c>
      <c r="C332" t="s">
        <v>19</v>
      </c>
      <c r="D332" t="s">
        <v>434</v>
      </c>
      <c r="E332" t="s">
        <v>21</v>
      </c>
      <c r="F332" t="s">
        <v>62</v>
      </c>
      <c r="G332">
        <v>63101</v>
      </c>
      <c r="H332">
        <v>152</v>
      </c>
      <c r="I332">
        <v>94</v>
      </c>
      <c r="J332" s="4">
        <f>MAX(Inventory[[#This Row],[Qty On Hand]]-Inventory[[#This Row],[Qty Allocated]],0)</f>
        <v>58</v>
      </c>
      <c r="K332">
        <v>173</v>
      </c>
      <c r="L332" t="s">
        <v>1284</v>
      </c>
      <c r="M332" t="s">
        <v>1285</v>
      </c>
      <c r="N332" t="s">
        <v>729</v>
      </c>
      <c r="O332" t="s">
        <v>26</v>
      </c>
      <c r="P332" t="s">
        <v>1286</v>
      </c>
      <c r="Q332" t="s">
        <v>34</v>
      </c>
    </row>
    <row r="333" spans="1:17" x14ac:dyDescent="0.25">
      <c r="A333" t="s">
        <v>1253</v>
      </c>
      <c r="B333" t="s">
        <v>789</v>
      </c>
      <c r="C333" t="s">
        <v>19</v>
      </c>
      <c r="D333" t="s">
        <v>434</v>
      </c>
      <c r="E333" t="s">
        <v>21</v>
      </c>
      <c r="F333" t="s">
        <v>62</v>
      </c>
      <c r="G333">
        <v>63101</v>
      </c>
      <c r="H333">
        <v>161</v>
      </c>
      <c r="I333">
        <v>64</v>
      </c>
      <c r="J333" s="4">
        <f>MAX(Inventory[[#This Row],[Qty On Hand]]-Inventory[[#This Row],[Qty Allocated]],0)</f>
        <v>97</v>
      </c>
      <c r="K333">
        <v>367</v>
      </c>
      <c r="L333" t="s">
        <v>1287</v>
      </c>
      <c r="M333" t="s">
        <v>1288</v>
      </c>
      <c r="N333" t="s">
        <v>1289</v>
      </c>
      <c r="O333" t="s">
        <v>26</v>
      </c>
      <c r="P333" t="s">
        <v>1290</v>
      </c>
      <c r="Q333" t="s">
        <v>34</v>
      </c>
    </row>
    <row r="334" spans="1:17" x14ac:dyDescent="0.25">
      <c r="A334" t="s">
        <v>1253</v>
      </c>
      <c r="B334" t="s">
        <v>789</v>
      </c>
      <c r="C334" t="s">
        <v>19</v>
      </c>
      <c r="D334" t="s">
        <v>434</v>
      </c>
      <c r="E334" t="s">
        <v>21</v>
      </c>
      <c r="F334" t="s">
        <v>62</v>
      </c>
      <c r="G334">
        <v>63101</v>
      </c>
      <c r="H334">
        <v>97</v>
      </c>
      <c r="I334">
        <v>26</v>
      </c>
      <c r="J334" s="4">
        <f>MAX(Inventory[[#This Row],[Qty On Hand]]-Inventory[[#This Row],[Qty Allocated]],0)</f>
        <v>71</v>
      </c>
      <c r="K334">
        <v>133</v>
      </c>
      <c r="L334" t="s">
        <v>1291</v>
      </c>
      <c r="M334" t="s">
        <v>1292</v>
      </c>
      <c r="N334" t="s">
        <v>948</v>
      </c>
      <c r="O334" t="s">
        <v>48</v>
      </c>
      <c r="P334" t="s">
        <v>1293</v>
      </c>
      <c r="Q334" t="s">
        <v>28</v>
      </c>
    </row>
    <row r="335" spans="1:17" x14ac:dyDescent="0.25">
      <c r="A335" t="s">
        <v>1253</v>
      </c>
      <c r="B335" t="s">
        <v>789</v>
      </c>
      <c r="C335" t="s">
        <v>19</v>
      </c>
      <c r="D335" t="s">
        <v>434</v>
      </c>
      <c r="E335" t="s">
        <v>21</v>
      </c>
      <c r="F335" t="s">
        <v>62</v>
      </c>
      <c r="G335">
        <v>63101</v>
      </c>
      <c r="H335">
        <v>112</v>
      </c>
      <c r="I335">
        <v>0</v>
      </c>
      <c r="J335" s="4">
        <f>MAX(Inventory[[#This Row],[Qty On Hand]]-Inventory[[#This Row],[Qty Allocated]],0)</f>
        <v>112</v>
      </c>
      <c r="K335">
        <v>322</v>
      </c>
      <c r="L335" t="s">
        <v>1294</v>
      </c>
      <c r="M335" t="s">
        <v>1295</v>
      </c>
      <c r="N335" t="s">
        <v>32</v>
      </c>
      <c r="O335" t="s">
        <v>26</v>
      </c>
      <c r="P335" t="s">
        <v>1296</v>
      </c>
      <c r="Q335" t="s">
        <v>28</v>
      </c>
    </row>
    <row r="336" spans="1:17" x14ac:dyDescent="0.25">
      <c r="A336" t="s">
        <v>1253</v>
      </c>
      <c r="B336" t="s">
        <v>789</v>
      </c>
      <c r="C336" t="s">
        <v>19</v>
      </c>
      <c r="D336" t="s">
        <v>434</v>
      </c>
      <c r="E336" t="s">
        <v>21</v>
      </c>
      <c r="F336" t="s">
        <v>62</v>
      </c>
      <c r="G336">
        <v>63101</v>
      </c>
      <c r="H336">
        <v>168</v>
      </c>
      <c r="I336">
        <v>43</v>
      </c>
      <c r="J336" s="4">
        <f>MAX(Inventory[[#This Row],[Qty On Hand]]-Inventory[[#This Row],[Qty Allocated]],0)</f>
        <v>125</v>
      </c>
      <c r="K336">
        <v>322</v>
      </c>
      <c r="L336" t="s">
        <v>1297</v>
      </c>
      <c r="M336" t="s">
        <v>1298</v>
      </c>
      <c r="N336" t="s">
        <v>1299</v>
      </c>
      <c r="O336" t="s">
        <v>26</v>
      </c>
      <c r="P336" t="s">
        <v>679</v>
      </c>
      <c r="Q336" t="s">
        <v>34</v>
      </c>
    </row>
    <row r="337" spans="1:17" x14ac:dyDescent="0.25">
      <c r="A337" t="s">
        <v>1253</v>
      </c>
      <c r="B337" t="s">
        <v>789</v>
      </c>
      <c r="C337" t="s">
        <v>19</v>
      </c>
      <c r="D337" t="s">
        <v>434</v>
      </c>
      <c r="E337" t="s">
        <v>21</v>
      </c>
      <c r="F337" t="s">
        <v>83</v>
      </c>
      <c r="G337">
        <v>28202</v>
      </c>
      <c r="H337">
        <v>92</v>
      </c>
      <c r="I337">
        <v>68</v>
      </c>
      <c r="J337" s="4">
        <f>MAX(Inventory[[#This Row],[Qty On Hand]]-Inventory[[#This Row],[Qty Allocated]],0)</f>
        <v>24</v>
      </c>
      <c r="K337">
        <v>290</v>
      </c>
      <c r="L337" t="s">
        <v>1300</v>
      </c>
      <c r="M337" t="s">
        <v>1301</v>
      </c>
      <c r="N337" t="s">
        <v>1302</v>
      </c>
      <c r="O337" t="s">
        <v>26</v>
      </c>
      <c r="P337" t="s">
        <v>265</v>
      </c>
      <c r="Q337" t="s">
        <v>92</v>
      </c>
    </row>
    <row r="338" spans="1:17" x14ac:dyDescent="0.25">
      <c r="A338" t="s">
        <v>1253</v>
      </c>
      <c r="B338" t="s">
        <v>789</v>
      </c>
      <c r="C338" t="s">
        <v>19</v>
      </c>
      <c r="D338" t="s">
        <v>434</v>
      </c>
      <c r="E338" t="s">
        <v>21</v>
      </c>
      <c r="F338" t="s">
        <v>83</v>
      </c>
      <c r="G338">
        <v>28202</v>
      </c>
      <c r="H338">
        <v>117</v>
      </c>
      <c r="I338">
        <v>11</v>
      </c>
      <c r="J338" s="4">
        <f>MAX(Inventory[[#This Row],[Qty On Hand]]-Inventory[[#This Row],[Qty Allocated]],0)</f>
        <v>106</v>
      </c>
      <c r="K338">
        <v>276</v>
      </c>
      <c r="L338" t="s">
        <v>1303</v>
      </c>
      <c r="M338" t="s">
        <v>1304</v>
      </c>
      <c r="N338" t="s">
        <v>1305</v>
      </c>
      <c r="O338" t="s">
        <v>48</v>
      </c>
      <c r="P338" t="s">
        <v>1107</v>
      </c>
      <c r="Q338" t="s">
        <v>40</v>
      </c>
    </row>
    <row r="339" spans="1:17" x14ac:dyDescent="0.25">
      <c r="A339" t="s">
        <v>1253</v>
      </c>
      <c r="B339" t="s">
        <v>789</v>
      </c>
      <c r="C339" t="s">
        <v>19</v>
      </c>
      <c r="D339" t="s">
        <v>434</v>
      </c>
      <c r="E339" t="s">
        <v>21</v>
      </c>
      <c r="F339" t="s">
        <v>83</v>
      </c>
      <c r="G339">
        <v>28202</v>
      </c>
      <c r="H339">
        <v>99</v>
      </c>
      <c r="I339">
        <v>50</v>
      </c>
      <c r="J339" s="4">
        <f>MAX(Inventory[[#This Row],[Qty On Hand]]-Inventory[[#This Row],[Qty Allocated]],0)</f>
        <v>49</v>
      </c>
      <c r="K339">
        <v>282</v>
      </c>
      <c r="L339" t="s">
        <v>1306</v>
      </c>
      <c r="M339" t="s">
        <v>1307</v>
      </c>
      <c r="N339" t="s">
        <v>1308</v>
      </c>
      <c r="O339" t="s">
        <v>26</v>
      </c>
      <c r="P339" t="s">
        <v>572</v>
      </c>
      <c r="Q339" t="s">
        <v>28</v>
      </c>
    </row>
    <row r="340" spans="1:17" x14ac:dyDescent="0.25">
      <c r="A340" t="s">
        <v>1253</v>
      </c>
      <c r="B340" t="s">
        <v>789</v>
      </c>
      <c r="C340" t="s">
        <v>19</v>
      </c>
      <c r="D340" t="s">
        <v>434</v>
      </c>
      <c r="E340" t="s">
        <v>21</v>
      </c>
      <c r="F340" t="s">
        <v>83</v>
      </c>
      <c r="G340">
        <v>28202</v>
      </c>
      <c r="H340">
        <v>178</v>
      </c>
      <c r="I340">
        <v>30</v>
      </c>
      <c r="J340" s="4">
        <f>MAX(Inventory[[#This Row],[Qty On Hand]]-Inventory[[#This Row],[Qty Allocated]],0)</f>
        <v>148</v>
      </c>
      <c r="K340">
        <v>226</v>
      </c>
      <c r="L340" t="s">
        <v>1309</v>
      </c>
      <c r="M340" t="s">
        <v>1310</v>
      </c>
      <c r="N340" t="s">
        <v>1311</v>
      </c>
      <c r="O340" t="s">
        <v>26</v>
      </c>
      <c r="P340" t="s">
        <v>1312</v>
      </c>
      <c r="Q340" t="s">
        <v>92</v>
      </c>
    </row>
    <row r="341" spans="1:17" x14ac:dyDescent="0.25">
      <c r="A341" t="s">
        <v>1253</v>
      </c>
      <c r="B341" t="s">
        <v>789</v>
      </c>
      <c r="C341" t="s">
        <v>19</v>
      </c>
      <c r="D341" t="s">
        <v>434</v>
      </c>
      <c r="E341" t="s">
        <v>21</v>
      </c>
      <c r="F341" t="s">
        <v>83</v>
      </c>
      <c r="G341">
        <v>28202</v>
      </c>
      <c r="H341">
        <v>98</v>
      </c>
      <c r="I341">
        <v>80</v>
      </c>
      <c r="J341" s="4">
        <f>MAX(Inventory[[#This Row],[Qty On Hand]]-Inventory[[#This Row],[Qty Allocated]],0)</f>
        <v>18</v>
      </c>
      <c r="K341">
        <v>238</v>
      </c>
      <c r="L341" t="s">
        <v>1313</v>
      </c>
      <c r="M341" t="s">
        <v>1314</v>
      </c>
      <c r="N341" t="s">
        <v>686</v>
      </c>
      <c r="O341" t="s">
        <v>26</v>
      </c>
      <c r="P341" t="s">
        <v>1315</v>
      </c>
      <c r="Q341" t="s">
        <v>40</v>
      </c>
    </row>
    <row r="342" spans="1:17" x14ac:dyDescent="0.25">
      <c r="A342" t="s">
        <v>1253</v>
      </c>
      <c r="B342" t="s">
        <v>789</v>
      </c>
      <c r="C342" t="s">
        <v>19</v>
      </c>
      <c r="D342" t="s">
        <v>434</v>
      </c>
      <c r="E342" t="s">
        <v>21</v>
      </c>
      <c r="F342" t="s">
        <v>83</v>
      </c>
      <c r="G342">
        <v>28202</v>
      </c>
      <c r="H342">
        <v>116</v>
      </c>
      <c r="I342">
        <v>17</v>
      </c>
      <c r="J342" s="4">
        <f>MAX(Inventory[[#This Row],[Qty On Hand]]-Inventory[[#This Row],[Qty Allocated]],0)</f>
        <v>99</v>
      </c>
      <c r="K342">
        <v>122</v>
      </c>
      <c r="L342" t="s">
        <v>1316</v>
      </c>
      <c r="M342" t="s">
        <v>1317</v>
      </c>
      <c r="N342" t="s">
        <v>441</v>
      </c>
      <c r="O342" t="s">
        <v>26</v>
      </c>
      <c r="P342" t="s">
        <v>1318</v>
      </c>
      <c r="Q342" t="s">
        <v>34</v>
      </c>
    </row>
    <row r="343" spans="1:17" x14ac:dyDescent="0.25">
      <c r="A343" t="s">
        <v>1319</v>
      </c>
      <c r="B343" t="s">
        <v>789</v>
      </c>
      <c r="C343" t="s">
        <v>19</v>
      </c>
      <c r="D343" t="s">
        <v>434</v>
      </c>
      <c r="E343" t="s">
        <v>122</v>
      </c>
      <c r="F343" t="s">
        <v>22</v>
      </c>
      <c r="G343">
        <v>94102</v>
      </c>
      <c r="H343">
        <v>7</v>
      </c>
      <c r="I343">
        <v>2</v>
      </c>
      <c r="J343" s="4">
        <f>MAX(Inventory[[#This Row],[Qty On Hand]]-Inventory[[#This Row],[Qty Allocated]],0)</f>
        <v>5</v>
      </c>
      <c r="K343">
        <v>564</v>
      </c>
      <c r="L343" t="s">
        <v>1320</v>
      </c>
      <c r="M343" t="s">
        <v>1321</v>
      </c>
      <c r="N343" t="s">
        <v>1322</v>
      </c>
      <c r="O343" t="s">
        <v>26</v>
      </c>
      <c r="P343" t="s">
        <v>1323</v>
      </c>
      <c r="Q343" t="s">
        <v>28</v>
      </c>
    </row>
    <row r="344" spans="1:17" x14ac:dyDescent="0.25">
      <c r="A344" t="s">
        <v>1319</v>
      </c>
      <c r="B344" t="s">
        <v>789</v>
      </c>
      <c r="C344" t="s">
        <v>19</v>
      </c>
      <c r="D344" t="s">
        <v>434</v>
      </c>
      <c r="E344" t="s">
        <v>122</v>
      </c>
      <c r="F344" t="s">
        <v>35</v>
      </c>
      <c r="G344">
        <v>75201</v>
      </c>
      <c r="H344">
        <v>169</v>
      </c>
      <c r="I344">
        <v>27</v>
      </c>
      <c r="J344" s="4">
        <f>MAX(Inventory[[#This Row],[Qty On Hand]]-Inventory[[#This Row],[Qty Allocated]],0)</f>
        <v>142</v>
      </c>
      <c r="K344">
        <v>170</v>
      </c>
      <c r="L344" t="s">
        <v>88</v>
      </c>
      <c r="M344" t="s">
        <v>1324</v>
      </c>
      <c r="N344" t="s">
        <v>1325</v>
      </c>
      <c r="O344" t="s">
        <v>48</v>
      </c>
      <c r="P344" t="s">
        <v>1326</v>
      </c>
      <c r="Q344" t="s">
        <v>34</v>
      </c>
    </row>
    <row r="345" spans="1:17" x14ac:dyDescent="0.25">
      <c r="A345" t="s">
        <v>1319</v>
      </c>
      <c r="B345" t="s">
        <v>789</v>
      </c>
      <c r="C345" t="s">
        <v>19</v>
      </c>
      <c r="D345" t="s">
        <v>434</v>
      </c>
      <c r="E345" t="s">
        <v>122</v>
      </c>
      <c r="F345" t="s">
        <v>35</v>
      </c>
      <c r="G345">
        <v>75201</v>
      </c>
      <c r="H345">
        <v>113</v>
      </c>
      <c r="I345">
        <v>46</v>
      </c>
      <c r="J345" s="4">
        <f>MAX(Inventory[[#This Row],[Qty On Hand]]-Inventory[[#This Row],[Qty Allocated]],0)</f>
        <v>67</v>
      </c>
      <c r="K345">
        <v>167</v>
      </c>
      <c r="L345" t="s">
        <v>1327</v>
      </c>
      <c r="M345" t="s">
        <v>1328</v>
      </c>
      <c r="N345" t="s">
        <v>295</v>
      </c>
      <c r="O345" t="s">
        <v>48</v>
      </c>
      <c r="P345" t="s">
        <v>1329</v>
      </c>
      <c r="Q345" t="s">
        <v>28</v>
      </c>
    </row>
    <row r="346" spans="1:17" x14ac:dyDescent="0.25">
      <c r="A346" t="s">
        <v>1319</v>
      </c>
      <c r="B346" t="s">
        <v>789</v>
      </c>
      <c r="C346" t="s">
        <v>19</v>
      </c>
      <c r="D346" t="s">
        <v>434</v>
      </c>
      <c r="E346" t="s">
        <v>122</v>
      </c>
      <c r="F346" t="s">
        <v>35</v>
      </c>
      <c r="G346">
        <v>75201</v>
      </c>
      <c r="H346">
        <v>69</v>
      </c>
      <c r="I346">
        <v>73</v>
      </c>
      <c r="J346" s="4">
        <f>MAX(Inventory[[#This Row],[Qty On Hand]]-Inventory[[#This Row],[Qty Allocated]],0)</f>
        <v>0</v>
      </c>
      <c r="K346">
        <v>240</v>
      </c>
      <c r="L346" t="s">
        <v>1330</v>
      </c>
      <c r="M346" t="s">
        <v>1331</v>
      </c>
      <c r="N346" t="s">
        <v>1125</v>
      </c>
      <c r="O346" t="s">
        <v>26</v>
      </c>
      <c r="P346" t="s">
        <v>1332</v>
      </c>
      <c r="Q346" t="s">
        <v>28</v>
      </c>
    </row>
    <row r="347" spans="1:17" x14ac:dyDescent="0.25">
      <c r="A347" t="s">
        <v>1319</v>
      </c>
      <c r="B347" t="s">
        <v>789</v>
      </c>
      <c r="C347" t="s">
        <v>19</v>
      </c>
      <c r="D347" t="s">
        <v>434</v>
      </c>
      <c r="E347" t="s">
        <v>122</v>
      </c>
      <c r="F347" t="s">
        <v>62</v>
      </c>
      <c r="G347">
        <v>63101</v>
      </c>
      <c r="H347">
        <v>120</v>
      </c>
      <c r="I347">
        <v>21</v>
      </c>
      <c r="J347" s="4">
        <f>MAX(Inventory[[#This Row],[Qty On Hand]]-Inventory[[#This Row],[Qty Allocated]],0)</f>
        <v>99</v>
      </c>
      <c r="K347">
        <v>360</v>
      </c>
      <c r="L347" t="s">
        <v>1333</v>
      </c>
      <c r="M347" t="s">
        <v>1334</v>
      </c>
      <c r="N347" t="s">
        <v>1335</v>
      </c>
      <c r="O347" t="s">
        <v>48</v>
      </c>
      <c r="P347" t="s">
        <v>410</v>
      </c>
      <c r="Q347" t="s">
        <v>34</v>
      </c>
    </row>
    <row r="348" spans="1:17" x14ac:dyDescent="0.25">
      <c r="A348" t="s">
        <v>1319</v>
      </c>
      <c r="B348" t="s">
        <v>789</v>
      </c>
      <c r="C348" t="s">
        <v>19</v>
      </c>
      <c r="D348" t="s">
        <v>434</v>
      </c>
      <c r="E348" t="s">
        <v>122</v>
      </c>
      <c r="F348" t="s">
        <v>62</v>
      </c>
      <c r="G348">
        <v>63101</v>
      </c>
      <c r="H348">
        <v>133</v>
      </c>
      <c r="I348">
        <v>38</v>
      </c>
      <c r="J348" s="4">
        <f>MAX(Inventory[[#This Row],[Qty On Hand]]-Inventory[[#This Row],[Qty Allocated]],0)</f>
        <v>95</v>
      </c>
      <c r="K348">
        <v>256</v>
      </c>
      <c r="L348" t="s">
        <v>1336</v>
      </c>
      <c r="M348" t="s">
        <v>1337</v>
      </c>
      <c r="N348" t="s">
        <v>1338</v>
      </c>
      <c r="O348" t="s">
        <v>26</v>
      </c>
      <c r="P348" t="s">
        <v>1191</v>
      </c>
      <c r="Q348" t="s">
        <v>92</v>
      </c>
    </row>
    <row r="349" spans="1:17" x14ac:dyDescent="0.25">
      <c r="A349" t="s">
        <v>1319</v>
      </c>
      <c r="B349" t="s">
        <v>789</v>
      </c>
      <c r="C349" t="s">
        <v>19</v>
      </c>
      <c r="D349" t="s">
        <v>434</v>
      </c>
      <c r="E349" t="s">
        <v>122</v>
      </c>
      <c r="F349" t="s">
        <v>62</v>
      </c>
      <c r="G349">
        <v>63101</v>
      </c>
      <c r="H349">
        <v>89</v>
      </c>
      <c r="I349">
        <v>90</v>
      </c>
      <c r="J349" s="4">
        <f>MAX(Inventory[[#This Row],[Qty On Hand]]-Inventory[[#This Row],[Qty Allocated]],0)</f>
        <v>0</v>
      </c>
      <c r="K349">
        <v>315</v>
      </c>
      <c r="L349" t="s">
        <v>1339</v>
      </c>
      <c r="M349" t="s">
        <v>1340</v>
      </c>
      <c r="N349" t="s">
        <v>1341</v>
      </c>
      <c r="O349" t="s">
        <v>26</v>
      </c>
      <c r="P349" t="s">
        <v>1342</v>
      </c>
      <c r="Q349" t="s">
        <v>34</v>
      </c>
    </row>
    <row r="350" spans="1:17" x14ac:dyDescent="0.25">
      <c r="A350" t="s">
        <v>1319</v>
      </c>
      <c r="B350" t="s">
        <v>789</v>
      </c>
      <c r="C350" t="s">
        <v>19</v>
      </c>
      <c r="D350" t="s">
        <v>434</v>
      </c>
      <c r="E350" t="s">
        <v>122</v>
      </c>
      <c r="F350" t="s">
        <v>62</v>
      </c>
      <c r="G350">
        <v>63101</v>
      </c>
      <c r="H350">
        <v>169</v>
      </c>
      <c r="I350">
        <v>55</v>
      </c>
      <c r="J350" s="4">
        <f>MAX(Inventory[[#This Row],[Qty On Hand]]-Inventory[[#This Row],[Qty Allocated]],0)</f>
        <v>114</v>
      </c>
      <c r="K350">
        <v>180</v>
      </c>
      <c r="L350" t="s">
        <v>1343</v>
      </c>
      <c r="M350" t="s">
        <v>1344</v>
      </c>
      <c r="N350" t="s">
        <v>232</v>
      </c>
      <c r="O350" t="s">
        <v>48</v>
      </c>
      <c r="P350" t="s">
        <v>1345</v>
      </c>
      <c r="Q350" t="s">
        <v>92</v>
      </c>
    </row>
    <row r="351" spans="1:17" x14ac:dyDescent="0.25">
      <c r="A351" t="s">
        <v>1319</v>
      </c>
      <c r="B351" t="s">
        <v>789</v>
      </c>
      <c r="C351" t="s">
        <v>19</v>
      </c>
      <c r="D351" t="s">
        <v>434</v>
      </c>
      <c r="E351" t="s">
        <v>122</v>
      </c>
      <c r="F351" t="s">
        <v>83</v>
      </c>
      <c r="G351">
        <v>28202</v>
      </c>
      <c r="H351">
        <v>87</v>
      </c>
      <c r="I351">
        <v>11</v>
      </c>
      <c r="J351" s="4">
        <f>MAX(Inventory[[#This Row],[Qty On Hand]]-Inventory[[#This Row],[Qty Allocated]],0)</f>
        <v>76</v>
      </c>
      <c r="K351">
        <v>158</v>
      </c>
      <c r="L351" t="s">
        <v>1346</v>
      </c>
      <c r="M351" t="s">
        <v>1347</v>
      </c>
      <c r="N351" t="s">
        <v>1348</v>
      </c>
      <c r="O351" t="s">
        <v>48</v>
      </c>
      <c r="P351" t="s">
        <v>1349</v>
      </c>
      <c r="Q351" t="s">
        <v>40</v>
      </c>
    </row>
    <row r="352" spans="1:17" x14ac:dyDescent="0.25">
      <c r="A352" t="s">
        <v>1319</v>
      </c>
      <c r="B352" t="s">
        <v>789</v>
      </c>
      <c r="C352" t="s">
        <v>19</v>
      </c>
      <c r="D352" t="s">
        <v>434</v>
      </c>
      <c r="E352" t="s">
        <v>122</v>
      </c>
      <c r="F352" t="s">
        <v>83</v>
      </c>
      <c r="G352">
        <v>28202</v>
      </c>
      <c r="H352">
        <v>165</v>
      </c>
      <c r="I352">
        <v>64</v>
      </c>
      <c r="J352" s="4">
        <f>MAX(Inventory[[#This Row],[Qty On Hand]]-Inventory[[#This Row],[Qty Allocated]],0)</f>
        <v>101</v>
      </c>
      <c r="K352">
        <v>205</v>
      </c>
      <c r="L352" t="s">
        <v>1350</v>
      </c>
      <c r="M352" t="s">
        <v>1351</v>
      </c>
      <c r="N352" t="s">
        <v>413</v>
      </c>
      <c r="O352" t="s">
        <v>26</v>
      </c>
      <c r="P352" t="s">
        <v>1352</v>
      </c>
      <c r="Q352" t="s">
        <v>92</v>
      </c>
    </row>
    <row r="353" spans="1:17" x14ac:dyDescent="0.25">
      <c r="A353" t="s">
        <v>1319</v>
      </c>
      <c r="B353" t="s">
        <v>789</v>
      </c>
      <c r="C353" t="s">
        <v>19</v>
      </c>
      <c r="D353" t="s">
        <v>434</v>
      </c>
      <c r="E353" t="s">
        <v>122</v>
      </c>
      <c r="F353" t="s">
        <v>83</v>
      </c>
      <c r="G353">
        <v>28202</v>
      </c>
      <c r="H353">
        <v>123</v>
      </c>
      <c r="I353">
        <v>57</v>
      </c>
      <c r="J353" s="4">
        <f>MAX(Inventory[[#This Row],[Qty On Hand]]-Inventory[[#This Row],[Qty Allocated]],0)</f>
        <v>66</v>
      </c>
      <c r="K353">
        <v>141</v>
      </c>
      <c r="L353" t="s">
        <v>1353</v>
      </c>
      <c r="M353" t="s">
        <v>1354</v>
      </c>
      <c r="N353" t="s">
        <v>1279</v>
      </c>
      <c r="O353" t="s">
        <v>26</v>
      </c>
      <c r="P353" t="s">
        <v>1355</v>
      </c>
      <c r="Q353" t="s">
        <v>34</v>
      </c>
    </row>
    <row r="354" spans="1:17" x14ac:dyDescent="0.25">
      <c r="A354" t="s">
        <v>1319</v>
      </c>
      <c r="B354" t="s">
        <v>789</v>
      </c>
      <c r="C354" t="s">
        <v>19</v>
      </c>
      <c r="D354" t="s">
        <v>434</v>
      </c>
      <c r="E354" t="s">
        <v>122</v>
      </c>
      <c r="F354" t="s">
        <v>83</v>
      </c>
      <c r="G354">
        <v>28202</v>
      </c>
      <c r="H354">
        <v>137</v>
      </c>
      <c r="I354">
        <v>55</v>
      </c>
      <c r="J354" s="4">
        <f>MAX(Inventory[[#This Row],[Qty On Hand]]-Inventory[[#This Row],[Qty Allocated]],0)</f>
        <v>82</v>
      </c>
      <c r="K354">
        <v>183</v>
      </c>
      <c r="L354" t="s">
        <v>1356</v>
      </c>
      <c r="M354" t="s">
        <v>1357</v>
      </c>
      <c r="N354" t="s">
        <v>1358</v>
      </c>
      <c r="O354" t="s">
        <v>26</v>
      </c>
      <c r="P354" t="s">
        <v>1359</v>
      </c>
      <c r="Q354" t="s">
        <v>92</v>
      </c>
    </row>
    <row r="355" spans="1:17" x14ac:dyDescent="0.25">
      <c r="A355" t="s">
        <v>1319</v>
      </c>
      <c r="B355" t="s">
        <v>789</v>
      </c>
      <c r="C355" t="s">
        <v>19</v>
      </c>
      <c r="D355" t="s">
        <v>434</v>
      </c>
      <c r="E355" t="s">
        <v>122</v>
      </c>
      <c r="F355" t="s">
        <v>83</v>
      </c>
      <c r="G355">
        <v>28202</v>
      </c>
      <c r="H355">
        <v>81</v>
      </c>
      <c r="I355">
        <v>82</v>
      </c>
      <c r="J355" s="4">
        <f>MAX(Inventory[[#This Row],[Qty On Hand]]-Inventory[[#This Row],[Qty Allocated]],0)</f>
        <v>0</v>
      </c>
      <c r="K355">
        <v>116</v>
      </c>
      <c r="L355" t="s">
        <v>1360</v>
      </c>
      <c r="M355" t="s">
        <v>1361</v>
      </c>
      <c r="N355" t="s">
        <v>1362</v>
      </c>
      <c r="O355" t="s">
        <v>48</v>
      </c>
      <c r="P355" t="s">
        <v>1363</v>
      </c>
      <c r="Q355" t="s">
        <v>28</v>
      </c>
    </row>
    <row r="356" spans="1:17" x14ac:dyDescent="0.25">
      <c r="A356" t="s">
        <v>1319</v>
      </c>
      <c r="B356" t="s">
        <v>789</v>
      </c>
      <c r="C356" t="s">
        <v>19</v>
      </c>
      <c r="D356" t="s">
        <v>434</v>
      </c>
      <c r="E356" t="s">
        <v>122</v>
      </c>
      <c r="F356" t="s">
        <v>83</v>
      </c>
      <c r="G356">
        <v>28202</v>
      </c>
      <c r="H356">
        <v>129</v>
      </c>
      <c r="I356">
        <v>40</v>
      </c>
      <c r="J356" s="4">
        <f>MAX(Inventory[[#This Row],[Qty On Hand]]-Inventory[[#This Row],[Qty Allocated]],0)</f>
        <v>89</v>
      </c>
      <c r="K356">
        <v>209</v>
      </c>
      <c r="L356" t="s">
        <v>1364</v>
      </c>
      <c r="M356" t="s">
        <v>1365</v>
      </c>
      <c r="N356" t="s">
        <v>1366</v>
      </c>
      <c r="O356" t="s">
        <v>26</v>
      </c>
      <c r="P356" t="s">
        <v>1367</v>
      </c>
      <c r="Q356" t="s">
        <v>40</v>
      </c>
    </row>
    <row r="357" spans="1:17" x14ac:dyDescent="0.25">
      <c r="A357" t="s">
        <v>1368</v>
      </c>
      <c r="B357" t="s">
        <v>789</v>
      </c>
      <c r="C357" t="s">
        <v>19</v>
      </c>
      <c r="D357" t="s">
        <v>434</v>
      </c>
      <c r="E357" t="s">
        <v>790</v>
      </c>
      <c r="F357" t="s">
        <v>62</v>
      </c>
      <c r="G357">
        <v>63101</v>
      </c>
      <c r="H357">
        <v>170</v>
      </c>
      <c r="I357">
        <v>1</v>
      </c>
      <c r="J357" s="4">
        <f>MAX(Inventory[[#This Row],[Qty On Hand]]-Inventory[[#This Row],[Qty Allocated]],0)</f>
        <v>169</v>
      </c>
      <c r="K357">
        <v>356</v>
      </c>
      <c r="L357" t="s">
        <v>1369</v>
      </c>
      <c r="M357" t="s">
        <v>1370</v>
      </c>
      <c r="N357" t="s">
        <v>1371</v>
      </c>
      <c r="O357" t="s">
        <v>26</v>
      </c>
      <c r="P357" t="s">
        <v>1372</v>
      </c>
      <c r="Q357" t="s">
        <v>40</v>
      </c>
    </row>
    <row r="358" spans="1:17" x14ac:dyDescent="0.25">
      <c r="A358" t="s">
        <v>1368</v>
      </c>
      <c r="B358" t="s">
        <v>789</v>
      </c>
      <c r="C358" t="s">
        <v>19</v>
      </c>
      <c r="D358" t="s">
        <v>434</v>
      </c>
      <c r="E358" t="s">
        <v>790</v>
      </c>
      <c r="F358" t="s">
        <v>35</v>
      </c>
      <c r="G358">
        <v>75201</v>
      </c>
      <c r="H358">
        <v>149</v>
      </c>
      <c r="I358">
        <v>6</v>
      </c>
      <c r="J358" s="4">
        <f>MAX(Inventory[[#This Row],[Qty On Hand]]-Inventory[[#This Row],[Qty Allocated]],0)</f>
        <v>143</v>
      </c>
      <c r="K358">
        <v>352</v>
      </c>
      <c r="L358" t="s">
        <v>1373</v>
      </c>
      <c r="M358" t="s">
        <v>1374</v>
      </c>
      <c r="N358" t="s">
        <v>1106</v>
      </c>
      <c r="O358" t="s">
        <v>26</v>
      </c>
      <c r="P358" t="s">
        <v>632</v>
      </c>
      <c r="Q358" t="s">
        <v>92</v>
      </c>
    </row>
    <row r="359" spans="1:17" x14ac:dyDescent="0.25">
      <c r="A359" t="s">
        <v>1368</v>
      </c>
      <c r="B359" t="s">
        <v>789</v>
      </c>
      <c r="C359" t="s">
        <v>19</v>
      </c>
      <c r="D359" t="s">
        <v>434</v>
      </c>
      <c r="E359" t="s">
        <v>790</v>
      </c>
      <c r="F359" t="s">
        <v>29</v>
      </c>
      <c r="G359">
        <v>98072</v>
      </c>
      <c r="H359">
        <v>87</v>
      </c>
      <c r="I359">
        <v>5</v>
      </c>
      <c r="J359" s="4">
        <f>MAX(Inventory[[#This Row],[Qty On Hand]]-Inventory[[#This Row],[Qty Allocated]],0)</f>
        <v>82</v>
      </c>
      <c r="K359">
        <v>265</v>
      </c>
      <c r="L359" t="s">
        <v>1375</v>
      </c>
      <c r="M359" t="s">
        <v>1376</v>
      </c>
      <c r="N359" t="s">
        <v>1377</v>
      </c>
      <c r="O359" t="s">
        <v>26</v>
      </c>
      <c r="P359" t="s">
        <v>39</v>
      </c>
      <c r="Q359" t="s">
        <v>34</v>
      </c>
    </row>
    <row r="360" spans="1:17" x14ac:dyDescent="0.25">
      <c r="A360" t="s">
        <v>1378</v>
      </c>
      <c r="B360" t="s">
        <v>789</v>
      </c>
      <c r="C360" t="s">
        <v>19</v>
      </c>
      <c r="D360" t="s">
        <v>434</v>
      </c>
      <c r="E360" t="s">
        <v>804</v>
      </c>
      <c r="F360" t="s">
        <v>62</v>
      </c>
      <c r="G360">
        <v>63101</v>
      </c>
      <c r="H360">
        <v>173</v>
      </c>
      <c r="I360">
        <v>1</v>
      </c>
      <c r="J360" s="4">
        <f>MAX(Inventory[[#This Row],[Qty On Hand]]-Inventory[[#This Row],[Qty Allocated]],0)</f>
        <v>172</v>
      </c>
      <c r="K360">
        <v>368</v>
      </c>
      <c r="L360" t="s">
        <v>1379</v>
      </c>
      <c r="M360" t="s">
        <v>1380</v>
      </c>
      <c r="N360" t="s">
        <v>1381</v>
      </c>
      <c r="O360" t="s">
        <v>26</v>
      </c>
      <c r="P360" t="s">
        <v>1382</v>
      </c>
      <c r="Q360" t="s">
        <v>92</v>
      </c>
    </row>
    <row r="361" spans="1:17" x14ac:dyDescent="0.25">
      <c r="A361" t="s">
        <v>1378</v>
      </c>
      <c r="B361" t="s">
        <v>789</v>
      </c>
      <c r="C361" t="s">
        <v>19</v>
      </c>
      <c r="D361" t="s">
        <v>434</v>
      </c>
      <c r="E361" t="s">
        <v>804</v>
      </c>
      <c r="F361" t="s">
        <v>35</v>
      </c>
      <c r="G361">
        <v>75201</v>
      </c>
      <c r="H361">
        <v>99</v>
      </c>
      <c r="I361">
        <v>9</v>
      </c>
      <c r="J361" s="4">
        <f>MAX(Inventory[[#This Row],[Qty On Hand]]-Inventory[[#This Row],[Qty Allocated]],0)</f>
        <v>90</v>
      </c>
      <c r="K361">
        <v>207</v>
      </c>
      <c r="L361" t="s">
        <v>1235</v>
      </c>
      <c r="M361" t="s">
        <v>1383</v>
      </c>
      <c r="N361" t="s">
        <v>339</v>
      </c>
      <c r="O361" t="s">
        <v>26</v>
      </c>
      <c r="P361" t="s">
        <v>1384</v>
      </c>
      <c r="Q361" t="s">
        <v>34</v>
      </c>
    </row>
    <row r="362" spans="1:17" x14ac:dyDescent="0.25">
      <c r="A362" t="s">
        <v>1378</v>
      </c>
      <c r="B362" t="s">
        <v>789</v>
      </c>
      <c r="C362" t="s">
        <v>19</v>
      </c>
      <c r="D362" t="s">
        <v>434</v>
      </c>
      <c r="E362" t="s">
        <v>804</v>
      </c>
      <c r="F362" t="s">
        <v>29</v>
      </c>
      <c r="G362">
        <v>98072</v>
      </c>
      <c r="H362">
        <v>158</v>
      </c>
      <c r="I362">
        <v>8</v>
      </c>
      <c r="J362" s="4">
        <f>MAX(Inventory[[#This Row],[Qty On Hand]]-Inventory[[#This Row],[Qty Allocated]],0)</f>
        <v>150</v>
      </c>
      <c r="K362">
        <v>382</v>
      </c>
      <c r="L362" t="s">
        <v>1385</v>
      </c>
      <c r="M362" t="s">
        <v>1386</v>
      </c>
      <c r="N362" t="s">
        <v>1387</v>
      </c>
      <c r="O362" t="s">
        <v>26</v>
      </c>
      <c r="P362" t="s">
        <v>1388</v>
      </c>
      <c r="Q362" t="s">
        <v>40</v>
      </c>
    </row>
    <row r="363" spans="1:17" x14ac:dyDescent="0.25">
      <c r="A363" t="s">
        <v>1389</v>
      </c>
      <c r="B363" t="s">
        <v>789</v>
      </c>
      <c r="C363" t="s">
        <v>19</v>
      </c>
      <c r="D363" t="s">
        <v>434</v>
      </c>
      <c r="E363" t="s">
        <v>817</v>
      </c>
      <c r="F363" t="s">
        <v>62</v>
      </c>
      <c r="G363">
        <v>63101</v>
      </c>
      <c r="H363">
        <v>110</v>
      </c>
      <c r="I363">
        <v>3</v>
      </c>
      <c r="J363" s="4">
        <f>MAX(Inventory[[#This Row],[Qty On Hand]]-Inventory[[#This Row],[Qty Allocated]],0)</f>
        <v>107</v>
      </c>
      <c r="K363">
        <v>396</v>
      </c>
      <c r="L363" t="s">
        <v>1390</v>
      </c>
      <c r="M363" t="s">
        <v>1391</v>
      </c>
      <c r="N363" t="s">
        <v>1392</v>
      </c>
      <c r="O363" t="s">
        <v>26</v>
      </c>
      <c r="P363" t="s">
        <v>617</v>
      </c>
      <c r="Q363" t="s">
        <v>28</v>
      </c>
    </row>
    <row r="364" spans="1:17" x14ac:dyDescent="0.25">
      <c r="A364" t="s">
        <v>1389</v>
      </c>
      <c r="B364" t="s">
        <v>789</v>
      </c>
      <c r="C364" t="s">
        <v>19</v>
      </c>
      <c r="D364" t="s">
        <v>434</v>
      </c>
      <c r="E364" t="s">
        <v>817</v>
      </c>
      <c r="F364" t="s">
        <v>35</v>
      </c>
      <c r="G364">
        <v>75201</v>
      </c>
      <c r="H364">
        <v>111</v>
      </c>
      <c r="I364">
        <v>9</v>
      </c>
      <c r="J364" s="4">
        <f>MAX(Inventory[[#This Row],[Qty On Hand]]-Inventory[[#This Row],[Qty Allocated]],0)</f>
        <v>102</v>
      </c>
      <c r="K364">
        <v>252</v>
      </c>
      <c r="L364" t="s">
        <v>1393</v>
      </c>
      <c r="M364" t="s">
        <v>1394</v>
      </c>
      <c r="N364" t="s">
        <v>1395</v>
      </c>
      <c r="O364" t="s">
        <v>26</v>
      </c>
      <c r="P364" t="s">
        <v>1382</v>
      </c>
      <c r="Q364" t="s">
        <v>92</v>
      </c>
    </row>
    <row r="365" spans="1:17" x14ac:dyDescent="0.25">
      <c r="A365" t="s">
        <v>1389</v>
      </c>
      <c r="B365" t="s">
        <v>789</v>
      </c>
      <c r="C365" t="s">
        <v>19</v>
      </c>
      <c r="D365" t="s">
        <v>434</v>
      </c>
      <c r="E365" t="s">
        <v>817</v>
      </c>
      <c r="F365" t="s">
        <v>29</v>
      </c>
      <c r="G365">
        <v>98072</v>
      </c>
      <c r="H365">
        <v>138</v>
      </c>
      <c r="I365">
        <v>6</v>
      </c>
      <c r="J365" s="4">
        <f>MAX(Inventory[[#This Row],[Qty On Hand]]-Inventory[[#This Row],[Qty Allocated]],0)</f>
        <v>132</v>
      </c>
      <c r="K365">
        <v>267</v>
      </c>
      <c r="L365" t="s">
        <v>1396</v>
      </c>
      <c r="M365" t="s">
        <v>1397</v>
      </c>
      <c r="N365" t="s">
        <v>1398</v>
      </c>
      <c r="O365" t="s">
        <v>26</v>
      </c>
      <c r="P365" t="s">
        <v>1399</v>
      </c>
      <c r="Q365" t="s">
        <v>34</v>
      </c>
    </row>
    <row r="366" spans="1:17" x14ac:dyDescent="0.25">
      <c r="A366" t="s">
        <v>1400</v>
      </c>
      <c r="B366" t="s">
        <v>789</v>
      </c>
      <c r="C366" t="s">
        <v>19</v>
      </c>
      <c r="D366" t="s">
        <v>434</v>
      </c>
      <c r="E366" t="s">
        <v>171</v>
      </c>
      <c r="F366" t="s">
        <v>22</v>
      </c>
      <c r="G366">
        <v>94102</v>
      </c>
      <c r="H366">
        <v>7</v>
      </c>
      <c r="I366">
        <v>4</v>
      </c>
      <c r="J366" s="4">
        <f>MAX(Inventory[[#This Row],[Qty On Hand]]-Inventory[[#This Row],[Qty Allocated]],0)</f>
        <v>3</v>
      </c>
      <c r="K366">
        <v>240</v>
      </c>
      <c r="L366" t="s">
        <v>1401</v>
      </c>
      <c r="M366" t="s">
        <v>1402</v>
      </c>
      <c r="N366" t="s">
        <v>1403</v>
      </c>
      <c r="O366" t="s">
        <v>26</v>
      </c>
      <c r="P366" t="s">
        <v>503</v>
      </c>
      <c r="Q366" t="s">
        <v>92</v>
      </c>
    </row>
    <row r="367" spans="1:17" x14ac:dyDescent="0.25">
      <c r="A367" t="s">
        <v>1400</v>
      </c>
      <c r="B367" t="s">
        <v>789</v>
      </c>
      <c r="C367" t="s">
        <v>19</v>
      </c>
      <c r="D367" t="s">
        <v>434</v>
      </c>
      <c r="E367" t="s">
        <v>171</v>
      </c>
      <c r="F367" t="s">
        <v>29</v>
      </c>
      <c r="G367">
        <v>98072</v>
      </c>
      <c r="H367">
        <v>163</v>
      </c>
      <c r="I367">
        <v>13</v>
      </c>
      <c r="J367" s="4">
        <f>MAX(Inventory[[#This Row],[Qty On Hand]]-Inventory[[#This Row],[Qty Allocated]],0)</f>
        <v>150</v>
      </c>
      <c r="K367">
        <v>455</v>
      </c>
      <c r="L367" t="s">
        <v>1404</v>
      </c>
      <c r="M367" t="s">
        <v>1405</v>
      </c>
      <c r="N367" t="s">
        <v>1406</v>
      </c>
      <c r="O367" t="s">
        <v>26</v>
      </c>
      <c r="P367" t="s">
        <v>359</v>
      </c>
      <c r="Q367" t="s">
        <v>34</v>
      </c>
    </row>
    <row r="368" spans="1:17" x14ac:dyDescent="0.25">
      <c r="A368" t="s">
        <v>1400</v>
      </c>
      <c r="B368" t="s">
        <v>789</v>
      </c>
      <c r="C368" t="s">
        <v>19</v>
      </c>
      <c r="D368" t="s">
        <v>434</v>
      </c>
      <c r="E368" t="s">
        <v>171</v>
      </c>
      <c r="F368" t="s">
        <v>35</v>
      </c>
      <c r="G368">
        <v>75201</v>
      </c>
      <c r="H368">
        <v>84</v>
      </c>
      <c r="I368">
        <v>64</v>
      </c>
      <c r="J368" s="4">
        <f>MAX(Inventory[[#This Row],[Qty On Hand]]-Inventory[[#This Row],[Qty Allocated]],0)</f>
        <v>20</v>
      </c>
      <c r="K368">
        <v>162</v>
      </c>
      <c r="L368" t="s">
        <v>1407</v>
      </c>
      <c r="M368" t="s">
        <v>1408</v>
      </c>
      <c r="N368" t="s">
        <v>252</v>
      </c>
      <c r="O368" t="s">
        <v>26</v>
      </c>
      <c r="P368" t="s">
        <v>1409</v>
      </c>
      <c r="Q368" t="s">
        <v>92</v>
      </c>
    </row>
    <row r="369" spans="1:17" x14ac:dyDescent="0.25">
      <c r="A369" t="s">
        <v>1400</v>
      </c>
      <c r="B369" t="s">
        <v>789</v>
      </c>
      <c r="C369" t="s">
        <v>19</v>
      </c>
      <c r="D369" t="s">
        <v>434</v>
      </c>
      <c r="E369" t="s">
        <v>171</v>
      </c>
      <c r="F369" t="s">
        <v>35</v>
      </c>
      <c r="G369">
        <v>75201</v>
      </c>
      <c r="H369">
        <v>144</v>
      </c>
      <c r="I369">
        <v>67</v>
      </c>
      <c r="J369" s="4">
        <f>MAX(Inventory[[#This Row],[Qty On Hand]]-Inventory[[#This Row],[Qty Allocated]],0)</f>
        <v>77</v>
      </c>
      <c r="K369">
        <v>153</v>
      </c>
      <c r="L369" t="s">
        <v>1410</v>
      </c>
      <c r="M369" t="s">
        <v>1411</v>
      </c>
      <c r="N369" t="s">
        <v>1412</v>
      </c>
      <c r="O369" t="s">
        <v>26</v>
      </c>
      <c r="P369" t="s">
        <v>1413</v>
      </c>
      <c r="Q369" t="s">
        <v>40</v>
      </c>
    </row>
    <row r="370" spans="1:17" x14ac:dyDescent="0.25">
      <c r="A370" t="s">
        <v>1400</v>
      </c>
      <c r="B370" t="s">
        <v>789</v>
      </c>
      <c r="C370" t="s">
        <v>19</v>
      </c>
      <c r="D370" t="s">
        <v>434</v>
      </c>
      <c r="E370" t="s">
        <v>171</v>
      </c>
      <c r="F370" t="s">
        <v>35</v>
      </c>
      <c r="G370">
        <v>75201</v>
      </c>
      <c r="H370">
        <v>142</v>
      </c>
      <c r="I370">
        <v>69</v>
      </c>
      <c r="J370" s="4">
        <f>MAX(Inventory[[#This Row],[Qty On Hand]]-Inventory[[#This Row],[Qty Allocated]],0)</f>
        <v>73</v>
      </c>
      <c r="K370">
        <v>255</v>
      </c>
      <c r="L370" t="s">
        <v>1414</v>
      </c>
      <c r="M370" t="s">
        <v>1415</v>
      </c>
      <c r="N370" t="s">
        <v>1416</v>
      </c>
      <c r="O370" t="s">
        <v>26</v>
      </c>
      <c r="P370" t="s">
        <v>1417</v>
      </c>
      <c r="Q370" t="s">
        <v>40</v>
      </c>
    </row>
    <row r="371" spans="1:17" x14ac:dyDescent="0.25">
      <c r="A371" t="s">
        <v>1400</v>
      </c>
      <c r="B371" t="s">
        <v>789</v>
      </c>
      <c r="C371" t="s">
        <v>19</v>
      </c>
      <c r="D371" t="s">
        <v>434</v>
      </c>
      <c r="E371" t="s">
        <v>171</v>
      </c>
      <c r="F371" t="s">
        <v>35</v>
      </c>
      <c r="G371">
        <v>75201</v>
      </c>
      <c r="H371">
        <v>88</v>
      </c>
      <c r="I371">
        <v>44</v>
      </c>
      <c r="J371" s="4">
        <f>MAX(Inventory[[#This Row],[Qty On Hand]]-Inventory[[#This Row],[Qty Allocated]],0)</f>
        <v>44</v>
      </c>
      <c r="K371">
        <v>350</v>
      </c>
      <c r="L371" t="s">
        <v>1418</v>
      </c>
      <c r="M371" t="s">
        <v>1419</v>
      </c>
      <c r="N371" t="s">
        <v>1420</v>
      </c>
      <c r="O371" t="s">
        <v>26</v>
      </c>
      <c r="P371" t="s">
        <v>1421</v>
      </c>
      <c r="Q371" t="s">
        <v>92</v>
      </c>
    </row>
    <row r="372" spans="1:17" x14ac:dyDescent="0.25">
      <c r="A372" t="s">
        <v>1400</v>
      </c>
      <c r="B372" t="s">
        <v>789</v>
      </c>
      <c r="C372" t="s">
        <v>19</v>
      </c>
      <c r="D372" t="s">
        <v>434</v>
      </c>
      <c r="E372" t="s">
        <v>171</v>
      </c>
      <c r="F372" t="s">
        <v>35</v>
      </c>
      <c r="G372">
        <v>75201</v>
      </c>
      <c r="H372">
        <v>197</v>
      </c>
      <c r="I372">
        <v>65</v>
      </c>
      <c r="J372" s="4">
        <f>MAX(Inventory[[#This Row],[Qty On Hand]]-Inventory[[#This Row],[Qty Allocated]],0)</f>
        <v>132</v>
      </c>
      <c r="K372">
        <v>332</v>
      </c>
      <c r="L372" t="s">
        <v>759</v>
      </c>
      <c r="M372" t="s">
        <v>1422</v>
      </c>
      <c r="N372" t="s">
        <v>1423</v>
      </c>
      <c r="O372" t="s">
        <v>26</v>
      </c>
      <c r="P372" t="s">
        <v>1424</v>
      </c>
      <c r="Q372" t="s">
        <v>40</v>
      </c>
    </row>
    <row r="373" spans="1:17" x14ac:dyDescent="0.25">
      <c r="A373" t="s">
        <v>1400</v>
      </c>
      <c r="B373" t="s">
        <v>789</v>
      </c>
      <c r="C373" t="s">
        <v>19</v>
      </c>
      <c r="D373" t="s">
        <v>434</v>
      </c>
      <c r="E373" t="s">
        <v>171</v>
      </c>
      <c r="F373" t="s">
        <v>62</v>
      </c>
      <c r="G373">
        <v>63101</v>
      </c>
      <c r="H373">
        <v>160</v>
      </c>
      <c r="I373">
        <v>23</v>
      </c>
      <c r="J373" s="4">
        <f>MAX(Inventory[[#This Row],[Qty On Hand]]-Inventory[[#This Row],[Qty Allocated]],0)</f>
        <v>137</v>
      </c>
      <c r="K373">
        <v>186</v>
      </c>
      <c r="L373" t="s">
        <v>1425</v>
      </c>
      <c r="M373" t="s">
        <v>1426</v>
      </c>
      <c r="N373" t="s">
        <v>1427</v>
      </c>
      <c r="O373" t="s">
        <v>48</v>
      </c>
      <c r="P373" t="s">
        <v>130</v>
      </c>
      <c r="Q373" t="s">
        <v>92</v>
      </c>
    </row>
    <row r="374" spans="1:17" x14ac:dyDescent="0.25">
      <c r="A374" t="s">
        <v>1400</v>
      </c>
      <c r="B374" t="s">
        <v>789</v>
      </c>
      <c r="C374" t="s">
        <v>19</v>
      </c>
      <c r="D374" t="s">
        <v>434</v>
      </c>
      <c r="E374" t="s">
        <v>171</v>
      </c>
      <c r="F374" t="s">
        <v>62</v>
      </c>
      <c r="G374">
        <v>63101</v>
      </c>
      <c r="H374">
        <v>91</v>
      </c>
      <c r="I374">
        <v>3</v>
      </c>
      <c r="J374" s="4">
        <f>MAX(Inventory[[#This Row],[Qty On Hand]]-Inventory[[#This Row],[Qty Allocated]],0)</f>
        <v>88</v>
      </c>
      <c r="K374">
        <v>163</v>
      </c>
      <c r="L374" t="s">
        <v>1428</v>
      </c>
      <c r="M374" t="s">
        <v>1429</v>
      </c>
      <c r="N374" t="s">
        <v>1430</v>
      </c>
      <c r="O374" t="s">
        <v>48</v>
      </c>
      <c r="P374" t="s">
        <v>1431</v>
      </c>
      <c r="Q374" t="s">
        <v>34</v>
      </c>
    </row>
    <row r="375" spans="1:17" x14ac:dyDescent="0.25">
      <c r="A375" t="s">
        <v>1400</v>
      </c>
      <c r="B375" t="s">
        <v>789</v>
      </c>
      <c r="C375" t="s">
        <v>19</v>
      </c>
      <c r="D375" t="s">
        <v>434</v>
      </c>
      <c r="E375" t="s">
        <v>171</v>
      </c>
      <c r="F375" t="s">
        <v>62</v>
      </c>
      <c r="G375">
        <v>63101</v>
      </c>
      <c r="H375">
        <v>176</v>
      </c>
      <c r="I375">
        <v>41</v>
      </c>
      <c r="J375" s="4">
        <f>MAX(Inventory[[#This Row],[Qty On Hand]]-Inventory[[#This Row],[Qty Allocated]],0)</f>
        <v>135</v>
      </c>
      <c r="K375">
        <v>205</v>
      </c>
      <c r="L375" t="s">
        <v>1432</v>
      </c>
      <c r="M375" t="s">
        <v>1433</v>
      </c>
      <c r="N375" t="s">
        <v>312</v>
      </c>
      <c r="O375" t="s">
        <v>26</v>
      </c>
      <c r="P375" t="s">
        <v>179</v>
      </c>
      <c r="Q375" t="s">
        <v>34</v>
      </c>
    </row>
    <row r="376" spans="1:17" x14ac:dyDescent="0.25">
      <c r="A376" t="s">
        <v>1400</v>
      </c>
      <c r="B376" t="s">
        <v>789</v>
      </c>
      <c r="C376" t="s">
        <v>19</v>
      </c>
      <c r="D376" t="s">
        <v>434</v>
      </c>
      <c r="E376" t="s">
        <v>171</v>
      </c>
      <c r="F376" t="s">
        <v>83</v>
      </c>
      <c r="G376">
        <v>28202</v>
      </c>
      <c r="H376">
        <v>107</v>
      </c>
      <c r="I376">
        <v>20</v>
      </c>
      <c r="J376" s="4">
        <f>MAX(Inventory[[#This Row],[Qty On Hand]]-Inventory[[#This Row],[Qty Allocated]],0)</f>
        <v>87</v>
      </c>
      <c r="K376">
        <v>249</v>
      </c>
      <c r="L376" t="s">
        <v>1434</v>
      </c>
      <c r="M376" t="s">
        <v>1435</v>
      </c>
      <c r="N376" t="s">
        <v>948</v>
      </c>
      <c r="O376" t="s">
        <v>26</v>
      </c>
      <c r="P376" t="s">
        <v>1436</v>
      </c>
      <c r="Q376" t="s">
        <v>40</v>
      </c>
    </row>
    <row r="377" spans="1:17" x14ac:dyDescent="0.25">
      <c r="A377" t="s">
        <v>1400</v>
      </c>
      <c r="B377" t="s">
        <v>789</v>
      </c>
      <c r="C377" t="s">
        <v>19</v>
      </c>
      <c r="D377" t="s">
        <v>434</v>
      </c>
      <c r="E377" t="s">
        <v>171</v>
      </c>
      <c r="F377" t="s">
        <v>83</v>
      </c>
      <c r="G377">
        <v>28202</v>
      </c>
      <c r="H377">
        <v>90</v>
      </c>
      <c r="I377">
        <v>73</v>
      </c>
      <c r="J377" s="4">
        <f>MAX(Inventory[[#This Row],[Qty On Hand]]-Inventory[[#This Row],[Qty Allocated]],0)</f>
        <v>17</v>
      </c>
      <c r="K377">
        <v>313</v>
      </c>
      <c r="L377" t="s">
        <v>1437</v>
      </c>
      <c r="M377" t="s">
        <v>1438</v>
      </c>
      <c r="N377" t="s">
        <v>1439</v>
      </c>
      <c r="O377" t="s">
        <v>26</v>
      </c>
      <c r="P377" t="s">
        <v>1440</v>
      </c>
      <c r="Q377" t="s">
        <v>28</v>
      </c>
    </row>
    <row r="378" spans="1:17" x14ac:dyDescent="0.25">
      <c r="A378" t="s">
        <v>1400</v>
      </c>
      <c r="B378" t="s">
        <v>789</v>
      </c>
      <c r="C378" t="s">
        <v>19</v>
      </c>
      <c r="D378" t="s">
        <v>434</v>
      </c>
      <c r="E378" t="s">
        <v>171</v>
      </c>
      <c r="F378" t="s">
        <v>83</v>
      </c>
      <c r="G378">
        <v>28202</v>
      </c>
      <c r="H378">
        <v>180</v>
      </c>
      <c r="I378">
        <v>13</v>
      </c>
      <c r="J378" s="4">
        <f>MAX(Inventory[[#This Row],[Qty On Hand]]-Inventory[[#This Row],[Qty Allocated]],0)</f>
        <v>167</v>
      </c>
      <c r="K378">
        <v>231</v>
      </c>
      <c r="L378" t="s">
        <v>1441</v>
      </c>
      <c r="M378" t="s">
        <v>1442</v>
      </c>
      <c r="N378" t="s">
        <v>571</v>
      </c>
      <c r="O378" t="s">
        <v>26</v>
      </c>
      <c r="P378" t="s">
        <v>1032</v>
      </c>
      <c r="Q378" t="s">
        <v>92</v>
      </c>
    </row>
    <row r="379" spans="1:17" x14ac:dyDescent="0.25">
      <c r="A379" t="s">
        <v>1443</v>
      </c>
      <c r="B379" t="s">
        <v>789</v>
      </c>
      <c r="C379" t="s">
        <v>19</v>
      </c>
      <c r="D379" t="s">
        <v>434</v>
      </c>
      <c r="E379" t="s">
        <v>830</v>
      </c>
      <c r="F379" t="s">
        <v>62</v>
      </c>
      <c r="G379">
        <v>63101</v>
      </c>
      <c r="H379">
        <v>198</v>
      </c>
      <c r="I379">
        <v>6</v>
      </c>
      <c r="J379" s="4">
        <f>MAX(Inventory[[#This Row],[Qty On Hand]]-Inventory[[#This Row],[Qty Allocated]],0)</f>
        <v>192</v>
      </c>
      <c r="K379">
        <v>272</v>
      </c>
      <c r="L379" t="s">
        <v>1444</v>
      </c>
      <c r="M379" t="s">
        <v>1445</v>
      </c>
      <c r="N379" t="s">
        <v>1446</v>
      </c>
      <c r="O379" t="s">
        <v>26</v>
      </c>
      <c r="P379" t="s">
        <v>460</v>
      </c>
      <c r="Q379" t="s">
        <v>92</v>
      </c>
    </row>
    <row r="380" spans="1:17" x14ac:dyDescent="0.25">
      <c r="A380" t="s">
        <v>1443</v>
      </c>
      <c r="B380" t="s">
        <v>789</v>
      </c>
      <c r="C380" t="s">
        <v>19</v>
      </c>
      <c r="D380" t="s">
        <v>434</v>
      </c>
      <c r="E380" t="s">
        <v>830</v>
      </c>
      <c r="F380" t="s">
        <v>35</v>
      </c>
      <c r="G380">
        <v>75201</v>
      </c>
      <c r="H380">
        <v>135</v>
      </c>
      <c r="I380">
        <v>2</v>
      </c>
      <c r="J380" s="4">
        <f>MAX(Inventory[[#This Row],[Qty On Hand]]-Inventory[[#This Row],[Qty Allocated]],0)</f>
        <v>133</v>
      </c>
      <c r="K380">
        <v>259</v>
      </c>
      <c r="L380" t="s">
        <v>1447</v>
      </c>
      <c r="M380" t="s">
        <v>1448</v>
      </c>
      <c r="N380" t="s">
        <v>1449</v>
      </c>
      <c r="O380" t="s">
        <v>26</v>
      </c>
      <c r="P380" t="s">
        <v>1450</v>
      </c>
      <c r="Q380" t="s">
        <v>40</v>
      </c>
    </row>
    <row r="381" spans="1:17" x14ac:dyDescent="0.25">
      <c r="A381" t="s">
        <v>1443</v>
      </c>
      <c r="B381" t="s">
        <v>789</v>
      </c>
      <c r="C381" t="s">
        <v>19</v>
      </c>
      <c r="D381" t="s">
        <v>434</v>
      </c>
      <c r="E381" t="s">
        <v>830</v>
      </c>
      <c r="F381" t="s">
        <v>29</v>
      </c>
      <c r="G381">
        <v>98072</v>
      </c>
      <c r="H381">
        <v>176</v>
      </c>
      <c r="I381">
        <v>5</v>
      </c>
      <c r="J381" s="4">
        <f>MAX(Inventory[[#This Row],[Qty On Hand]]-Inventory[[#This Row],[Qty Allocated]],0)</f>
        <v>171</v>
      </c>
      <c r="K381">
        <v>223</v>
      </c>
      <c r="L381" t="s">
        <v>1451</v>
      </c>
      <c r="M381" t="s">
        <v>1452</v>
      </c>
      <c r="N381" t="s">
        <v>568</v>
      </c>
      <c r="O381" t="s">
        <v>26</v>
      </c>
      <c r="P381" t="s">
        <v>1453</v>
      </c>
      <c r="Q381" t="s">
        <v>40</v>
      </c>
    </row>
    <row r="382" spans="1:17" x14ac:dyDescent="0.25">
      <c r="A382" t="s">
        <v>1454</v>
      </c>
      <c r="B382" t="s">
        <v>789</v>
      </c>
      <c r="C382" t="s">
        <v>19</v>
      </c>
      <c r="D382" t="s">
        <v>434</v>
      </c>
      <c r="E382" t="s">
        <v>843</v>
      </c>
      <c r="F382" t="s">
        <v>62</v>
      </c>
      <c r="G382">
        <v>63101</v>
      </c>
      <c r="H382">
        <v>79</v>
      </c>
      <c r="I382">
        <v>9</v>
      </c>
      <c r="J382" s="4">
        <f>MAX(Inventory[[#This Row],[Qty On Hand]]-Inventory[[#This Row],[Qty Allocated]],0)</f>
        <v>70</v>
      </c>
      <c r="K382">
        <v>301</v>
      </c>
      <c r="L382" t="s">
        <v>1455</v>
      </c>
      <c r="M382" t="s">
        <v>1456</v>
      </c>
      <c r="N382" t="s">
        <v>1457</v>
      </c>
      <c r="O382" t="s">
        <v>26</v>
      </c>
      <c r="P382" t="s">
        <v>1458</v>
      </c>
      <c r="Q382" t="s">
        <v>92</v>
      </c>
    </row>
    <row r="383" spans="1:17" x14ac:dyDescent="0.25">
      <c r="A383" t="s">
        <v>1454</v>
      </c>
      <c r="B383" t="s">
        <v>789</v>
      </c>
      <c r="C383" t="s">
        <v>19</v>
      </c>
      <c r="D383" t="s">
        <v>434</v>
      </c>
      <c r="E383" t="s">
        <v>843</v>
      </c>
      <c r="F383" t="s">
        <v>35</v>
      </c>
      <c r="G383">
        <v>75201</v>
      </c>
      <c r="H383">
        <v>163</v>
      </c>
      <c r="I383">
        <v>6</v>
      </c>
      <c r="J383" s="4">
        <f>MAX(Inventory[[#This Row],[Qty On Hand]]-Inventory[[#This Row],[Qty Allocated]],0)</f>
        <v>157</v>
      </c>
      <c r="K383">
        <v>246</v>
      </c>
      <c r="L383" t="s">
        <v>1459</v>
      </c>
      <c r="M383" t="s">
        <v>1460</v>
      </c>
      <c r="N383" t="s">
        <v>1461</v>
      </c>
      <c r="O383" t="s">
        <v>26</v>
      </c>
      <c r="P383" t="s">
        <v>1147</v>
      </c>
      <c r="Q383" t="s">
        <v>40</v>
      </c>
    </row>
    <row r="384" spans="1:17" x14ac:dyDescent="0.25">
      <c r="A384" t="s">
        <v>1454</v>
      </c>
      <c r="B384" t="s">
        <v>789</v>
      </c>
      <c r="C384" t="s">
        <v>19</v>
      </c>
      <c r="D384" t="s">
        <v>434</v>
      </c>
      <c r="E384" t="s">
        <v>843</v>
      </c>
      <c r="F384" t="s">
        <v>29</v>
      </c>
      <c r="G384">
        <v>98072</v>
      </c>
      <c r="H384">
        <v>139</v>
      </c>
      <c r="I384">
        <v>8</v>
      </c>
      <c r="J384" s="4">
        <f>MAX(Inventory[[#This Row],[Qty On Hand]]-Inventory[[#This Row],[Qty Allocated]],0)</f>
        <v>131</v>
      </c>
      <c r="K384">
        <v>203</v>
      </c>
      <c r="L384" t="s">
        <v>1462</v>
      </c>
      <c r="M384" t="s">
        <v>1463</v>
      </c>
      <c r="N384" t="s">
        <v>1464</v>
      </c>
      <c r="O384" t="s">
        <v>26</v>
      </c>
      <c r="P384" t="s">
        <v>583</v>
      </c>
      <c r="Q384" t="s">
        <v>92</v>
      </c>
    </row>
    <row r="385" spans="1:17" x14ac:dyDescent="0.25">
      <c r="A385" t="s">
        <v>1465</v>
      </c>
      <c r="B385" t="s">
        <v>789</v>
      </c>
      <c r="C385" t="s">
        <v>19</v>
      </c>
      <c r="D385" t="s">
        <v>601</v>
      </c>
      <c r="E385" t="s">
        <v>21</v>
      </c>
      <c r="F385" t="s">
        <v>22</v>
      </c>
      <c r="G385">
        <v>94102</v>
      </c>
      <c r="H385">
        <v>8</v>
      </c>
      <c r="I385">
        <v>4</v>
      </c>
      <c r="J385" s="4">
        <f>MAX(Inventory[[#This Row],[Qty On Hand]]-Inventory[[#This Row],[Qty Allocated]],0)</f>
        <v>4</v>
      </c>
      <c r="K385">
        <v>240</v>
      </c>
      <c r="L385" t="s">
        <v>1466</v>
      </c>
      <c r="M385" t="s">
        <v>1467</v>
      </c>
      <c r="N385" t="s">
        <v>1468</v>
      </c>
      <c r="O385" t="s">
        <v>26</v>
      </c>
      <c r="P385" t="s">
        <v>1469</v>
      </c>
      <c r="Q385" t="s">
        <v>34</v>
      </c>
    </row>
    <row r="386" spans="1:17" x14ac:dyDescent="0.25">
      <c r="A386" t="s">
        <v>1465</v>
      </c>
      <c r="B386" t="s">
        <v>789</v>
      </c>
      <c r="C386" t="s">
        <v>19</v>
      </c>
      <c r="D386" t="s">
        <v>601</v>
      </c>
      <c r="E386" t="s">
        <v>122</v>
      </c>
      <c r="F386" t="s">
        <v>29</v>
      </c>
      <c r="G386">
        <v>98072</v>
      </c>
      <c r="H386">
        <v>4116</v>
      </c>
      <c r="I386">
        <v>88</v>
      </c>
      <c r="J386" s="4">
        <f>MAX(Inventory[[#This Row],[Qty On Hand]]-Inventory[[#This Row],[Qty Allocated]],0)</f>
        <v>4028</v>
      </c>
      <c r="K386">
        <v>287</v>
      </c>
      <c r="L386" t="s">
        <v>1470</v>
      </c>
      <c r="M386" t="s">
        <v>1471</v>
      </c>
      <c r="N386" t="s">
        <v>1472</v>
      </c>
      <c r="O386" t="s">
        <v>26</v>
      </c>
      <c r="P386" t="s">
        <v>1473</v>
      </c>
      <c r="Q386" t="s">
        <v>92</v>
      </c>
    </row>
    <row r="387" spans="1:17" x14ac:dyDescent="0.25">
      <c r="A387" t="s">
        <v>1465</v>
      </c>
      <c r="B387" t="s">
        <v>789</v>
      </c>
      <c r="C387" t="s">
        <v>19</v>
      </c>
      <c r="D387" t="s">
        <v>601</v>
      </c>
      <c r="E387" t="s">
        <v>21</v>
      </c>
      <c r="F387" t="s">
        <v>35</v>
      </c>
      <c r="G387">
        <v>75201</v>
      </c>
      <c r="H387">
        <v>171</v>
      </c>
      <c r="I387">
        <v>55</v>
      </c>
      <c r="J387" s="4">
        <f>MAX(Inventory[[#This Row],[Qty On Hand]]-Inventory[[#This Row],[Qty Allocated]],0)</f>
        <v>116</v>
      </c>
      <c r="K387">
        <v>285</v>
      </c>
      <c r="L387" t="s">
        <v>1474</v>
      </c>
      <c r="M387" t="s">
        <v>1475</v>
      </c>
      <c r="N387" t="s">
        <v>1476</v>
      </c>
      <c r="O387" t="s">
        <v>26</v>
      </c>
      <c r="P387" t="s">
        <v>1477</v>
      </c>
      <c r="Q387" t="s">
        <v>92</v>
      </c>
    </row>
    <row r="388" spans="1:17" x14ac:dyDescent="0.25">
      <c r="A388" t="s">
        <v>1465</v>
      </c>
      <c r="B388" t="s">
        <v>789</v>
      </c>
      <c r="C388" t="s">
        <v>19</v>
      </c>
      <c r="D388" t="s">
        <v>601</v>
      </c>
      <c r="E388" t="s">
        <v>21</v>
      </c>
      <c r="F388" t="s">
        <v>35</v>
      </c>
      <c r="G388">
        <v>75201</v>
      </c>
      <c r="H388">
        <v>115</v>
      </c>
      <c r="I388">
        <v>70</v>
      </c>
      <c r="J388" s="4">
        <f>MAX(Inventory[[#This Row],[Qty On Hand]]-Inventory[[#This Row],[Qty Allocated]],0)</f>
        <v>45</v>
      </c>
      <c r="K388">
        <v>380</v>
      </c>
      <c r="L388" t="s">
        <v>1478</v>
      </c>
      <c r="M388" t="s">
        <v>1479</v>
      </c>
      <c r="N388" t="s">
        <v>1480</v>
      </c>
      <c r="O388" t="s">
        <v>26</v>
      </c>
      <c r="P388" t="s">
        <v>1481</v>
      </c>
      <c r="Q388" t="s">
        <v>92</v>
      </c>
    </row>
    <row r="389" spans="1:17" x14ac:dyDescent="0.25">
      <c r="A389" t="s">
        <v>1465</v>
      </c>
      <c r="B389" t="s">
        <v>789</v>
      </c>
      <c r="C389" t="s">
        <v>19</v>
      </c>
      <c r="D389" t="s">
        <v>601</v>
      </c>
      <c r="E389" t="s">
        <v>21</v>
      </c>
      <c r="F389" t="s">
        <v>35</v>
      </c>
      <c r="G389">
        <v>75201</v>
      </c>
      <c r="H389">
        <v>106</v>
      </c>
      <c r="I389">
        <v>86</v>
      </c>
      <c r="J389" s="4">
        <f>MAX(Inventory[[#This Row],[Qty On Hand]]-Inventory[[#This Row],[Qty Allocated]],0)</f>
        <v>20</v>
      </c>
      <c r="K389">
        <v>182</v>
      </c>
      <c r="L389" t="s">
        <v>1482</v>
      </c>
      <c r="M389" t="s">
        <v>1483</v>
      </c>
      <c r="N389" t="s">
        <v>463</v>
      </c>
      <c r="O389" t="s">
        <v>48</v>
      </c>
      <c r="P389" t="s">
        <v>1484</v>
      </c>
      <c r="Q389" t="s">
        <v>40</v>
      </c>
    </row>
    <row r="390" spans="1:17" x14ac:dyDescent="0.25">
      <c r="A390" t="s">
        <v>1465</v>
      </c>
      <c r="B390" t="s">
        <v>789</v>
      </c>
      <c r="C390" t="s">
        <v>19</v>
      </c>
      <c r="D390" t="s">
        <v>601</v>
      </c>
      <c r="E390" t="s">
        <v>21</v>
      </c>
      <c r="F390" t="s">
        <v>62</v>
      </c>
      <c r="G390">
        <v>63101</v>
      </c>
      <c r="H390">
        <v>147</v>
      </c>
      <c r="I390">
        <v>1</v>
      </c>
      <c r="J390" s="4">
        <f>MAX(Inventory[[#This Row],[Qty On Hand]]-Inventory[[#This Row],[Qty Allocated]],0)</f>
        <v>146</v>
      </c>
      <c r="K390">
        <v>120</v>
      </c>
      <c r="L390" t="s">
        <v>1485</v>
      </c>
      <c r="M390" t="s">
        <v>1486</v>
      </c>
      <c r="N390" t="s">
        <v>316</v>
      </c>
      <c r="O390" t="s">
        <v>26</v>
      </c>
      <c r="P390" t="s">
        <v>223</v>
      </c>
      <c r="Q390" t="s">
        <v>40</v>
      </c>
    </row>
    <row r="391" spans="1:17" x14ac:dyDescent="0.25">
      <c r="A391" t="s">
        <v>1465</v>
      </c>
      <c r="B391" t="s">
        <v>789</v>
      </c>
      <c r="C391" t="s">
        <v>19</v>
      </c>
      <c r="D391" t="s">
        <v>601</v>
      </c>
      <c r="E391" t="s">
        <v>21</v>
      </c>
      <c r="F391" t="s">
        <v>62</v>
      </c>
      <c r="G391">
        <v>63101</v>
      </c>
      <c r="H391">
        <v>77</v>
      </c>
      <c r="I391">
        <v>57</v>
      </c>
      <c r="J391" s="4">
        <f>MAX(Inventory[[#This Row],[Qty On Hand]]-Inventory[[#This Row],[Qty Allocated]],0)</f>
        <v>20</v>
      </c>
      <c r="K391">
        <v>109</v>
      </c>
      <c r="L391" t="s">
        <v>994</v>
      </c>
      <c r="M391" t="s">
        <v>1487</v>
      </c>
      <c r="N391" t="s">
        <v>1488</v>
      </c>
      <c r="O391" t="s">
        <v>48</v>
      </c>
      <c r="P391" t="s">
        <v>27</v>
      </c>
      <c r="Q391" t="s">
        <v>28</v>
      </c>
    </row>
    <row r="392" spans="1:17" x14ac:dyDescent="0.25">
      <c r="A392" t="s">
        <v>1465</v>
      </c>
      <c r="B392" t="s">
        <v>789</v>
      </c>
      <c r="C392" t="s">
        <v>19</v>
      </c>
      <c r="D392" t="s">
        <v>601</v>
      </c>
      <c r="E392" t="s">
        <v>21</v>
      </c>
      <c r="F392" t="s">
        <v>62</v>
      </c>
      <c r="G392">
        <v>63101</v>
      </c>
      <c r="H392">
        <v>149</v>
      </c>
      <c r="I392">
        <v>23</v>
      </c>
      <c r="J392" s="4">
        <f>MAX(Inventory[[#This Row],[Qty On Hand]]-Inventory[[#This Row],[Qty Allocated]],0)</f>
        <v>126</v>
      </c>
      <c r="K392">
        <v>386</v>
      </c>
      <c r="L392" t="s">
        <v>1489</v>
      </c>
      <c r="M392" t="s">
        <v>1490</v>
      </c>
      <c r="N392" t="s">
        <v>1491</v>
      </c>
      <c r="O392" t="s">
        <v>26</v>
      </c>
      <c r="P392" t="s">
        <v>1492</v>
      </c>
      <c r="Q392" t="s">
        <v>40</v>
      </c>
    </row>
    <row r="393" spans="1:17" x14ac:dyDescent="0.25">
      <c r="A393" t="s">
        <v>1465</v>
      </c>
      <c r="B393" t="s">
        <v>789</v>
      </c>
      <c r="C393" t="s">
        <v>19</v>
      </c>
      <c r="D393" t="s">
        <v>601</v>
      </c>
      <c r="E393" t="s">
        <v>21</v>
      </c>
      <c r="F393" t="s">
        <v>83</v>
      </c>
      <c r="G393">
        <v>28202</v>
      </c>
      <c r="H393">
        <v>120</v>
      </c>
      <c r="I393">
        <v>17</v>
      </c>
      <c r="J393" s="4">
        <f>MAX(Inventory[[#This Row],[Qty On Hand]]-Inventory[[#This Row],[Qty Allocated]],0)</f>
        <v>103</v>
      </c>
      <c r="K393">
        <v>120</v>
      </c>
      <c r="L393" t="s">
        <v>1493</v>
      </c>
      <c r="M393" t="s">
        <v>1494</v>
      </c>
      <c r="N393" t="s">
        <v>627</v>
      </c>
      <c r="O393" t="s">
        <v>26</v>
      </c>
      <c r="P393" t="s">
        <v>1495</v>
      </c>
      <c r="Q393" t="s">
        <v>28</v>
      </c>
    </row>
    <row r="394" spans="1:17" x14ac:dyDescent="0.25">
      <c r="A394" t="s">
        <v>1465</v>
      </c>
      <c r="B394" t="s">
        <v>789</v>
      </c>
      <c r="C394" t="s">
        <v>19</v>
      </c>
      <c r="D394" t="s">
        <v>601</v>
      </c>
      <c r="E394" t="s">
        <v>21</v>
      </c>
      <c r="F394" t="s">
        <v>83</v>
      </c>
      <c r="G394">
        <v>28202</v>
      </c>
      <c r="H394">
        <v>158</v>
      </c>
      <c r="I394">
        <v>40</v>
      </c>
      <c r="J394" s="4">
        <f>MAX(Inventory[[#This Row],[Qty On Hand]]-Inventory[[#This Row],[Qty Allocated]],0)</f>
        <v>118</v>
      </c>
      <c r="K394">
        <v>279</v>
      </c>
      <c r="L394" t="s">
        <v>1009</v>
      </c>
      <c r="M394" t="s">
        <v>1496</v>
      </c>
      <c r="N394" t="s">
        <v>1497</v>
      </c>
      <c r="O394" t="s">
        <v>26</v>
      </c>
      <c r="P394" t="s">
        <v>558</v>
      </c>
      <c r="Q394" t="s">
        <v>40</v>
      </c>
    </row>
    <row r="395" spans="1:17" x14ac:dyDescent="0.25">
      <c r="A395" t="s">
        <v>1465</v>
      </c>
      <c r="B395" t="s">
        <v>789</v>
      </c>
      <c r="C395" t="s">
        <v>19</v>
      </c>
      <c r="D395" t="s">
        <v>601</v>
      </c>
      <c r="E395" t="s">
        <v>21</v>
      </c>
      <c r="F395" t="s">
        <v>83</v>
      </c>
      <c r="G395">
        <v>28202</v>
      </c>
      <c r="H395">
        <v>192</v>
      </c>
      <c r="I395">
        <v>52</v>
      </c>
      <c r="J395" s="4">
        <f>MAX(Inventory[[#This Row],[Qty On Hand]]-Inventory[[#This Row],[Qty Allocated]],0)</f>
        <v>140</v>
      </c>
      <c r="K395">
        <v>132</v>
      </c>
      <c r="L395" t="s">
        <v>1498</v>
      </c>
      <c r="M395" t="s">
        <v>1499</v>
      </c>
      <c r="N395" t="s">
        <v>264</v>
      </c>
      <c r="O395" t="s">
        <v>26</v>
      </c>
      <c r="P395" t="s">
        <v>378</v>
      </c>
      <c r="Q395" t="s">
        <v>40</v>
      </c>
    </row>
    <row r="396" spans="1:17" x14ac:dyDescent="0.25">
      <c r="A396" t="s">
        <v>1500</v>
      </c>
      <c r="B396" t="s">
        <v>789</v>
      </c>
      <c r="C396" t="s">
        <v>19</v>
      </c>
      <c r="D396" t="s">
        <v>601</v>
      </c>
      <c r="E396" t="s">
        <v>122</v>
      </c>
      <c r="F396" t="s">
        <v>22</v>
      </c>
      <c r="G396">
        <v>94102</v>
      </c>
      <c r="H396">
        <v>4</v>
      </c>
      <c r="I396">
        <v>0</v>
      </c>
      <c r="J396" s="4">
        <f>MAX(Inventory[[#This Row],[Qty On Hand]]-Inventory[[#This Row],[Qty Allocated]],0)</f>
        <v>4</v>
      </c>
      <c r="K396">
        <v>530</v>
      </c>
      <c r="L396" t="s">
        <v>1501</v>
      </c>
      <c r="M396" t="s">
        <v>1502</v>
      </c>
      <c r="N396" t="s">
        <v>361</v>
      </c>
      <c r="O396" t="s">
        <v>26</v>
      </c>
      <c r="P396" t="s">
        <v>1382</v>
      </c>
      <c r="Q396" t="s">
        <v>92</v>
      </c>
    </row>
    <row r="397" spans="1:17" x14ac:dyDescent="0.25">
      <c r="A397" t="s">
        <v>1500</v>
      </c>
      <c r="B397" t="s">
        <v>789</v>
      </c>
      <c r="C397" t="s">
        <v>19</v>
      </c>
      <c r="D397" t="s">
        <v>601</v>
      </c>
      <c r="E397" t="s">
        <v>122</v>
      </c>
      <c r="F397" t="s">
        <v>35</v>
      </c>
      <c r="G397">
        <v>75201</v>
      </c>
      <c r="H397">
        <v>146</v>
      </c>
      <c r="I397">
        <v>31</v>
      </c>
      <c r="J397" s="4">
        <f>MAX(Inventory[[#This Row],[Qty On Hand]]-Inventory[[#This Row],[Qty Allocated]],0)</f>
        <v>115</v>
      </c>
      <c r="K397">
        <v>102</v>
      </c>
      <c r="L397" t="s">
        <v>1503</v>
      </c>
      <c r="M397" t="s">
        <v>1504</v>
      </c>
      <c r="N397" t="s">
        <v>1505</v>
      </c>
      <c r="O397" t="s">
        <v>48</v>
      </c>
      <c r="P397" t="s">
        <v>1506</v>
      </c>
      <c r="Q397" t="s">
        <v>40</v>
      </c>
    </row>
    <row r="398" spans="1:17" x14ac:dyDescent="0.25">
      <c r="A398" t="s">
        <v>1500</v>
      </c>
      <c r="B398" t="s">
        <v>789</v>
      </c>
      <c r="C398" t="s">
        <v>19</v>
      </c>
      <c r="D398" t="s">
        <v>601</v>
      </c>
      <c r="E398" t="s">
        <v>122</v>
      </c>
      <c r="F398" t="s">
        <v>35</v>
      </c>
      <c r="G398">
        <v>75201</v>
      </c>
      <c r="H398">
        <v>70</v>
      </c>
      <c r="I398">
        <v>70</v>
      </c>
      <c r="J398" s="4">
        <f>MAX(Inventory[[#This Row],[Qty On Hand]]-Inventory[[#This Row],[Qty Allocated]],0)</f>
        <v>0</v>
      </c>
      <c r="K398">
        <v>295</v>
      </c>
      <c r="L398" t="s">
        <v>1507</v>
      </c>
      <c r="M398" t="s">
        <v>1508</v>
      </c>
      <c r="N398" t="s">
        <v>1509</v>
      </c>
      <c r="O398" t="s">
        <v>26</v>
      </c>
      <c r="P398" t="s">
        <v>1510</v>
      </c>
      <c r="Q398" t="s">
        <v>92</v>
      </c>
    </row>
    <row r="399" spans="1:17" x14ac:dyDescent="0.25">
      <c r="A399" t="s">
        <v>1500</v>
      </c>
      <c r="B399" t="s">
        <v>789</v>
      </c>
      <c r="C399" t="s">
        <v>19</v>
      </c>
      <c r="D399" t="s">
        <v>601</v>
      </c>
      <c r="E399" t="s">
        <v>122</v>
      </c>
      <c r="F399" t="s">
        <v>35</v>
      </c>
      <c r="G399">
        <v>75201</v>
      </c>
      <c r="H399">
        <v>118</v>
      </c>
      <c r="I399">
        <v>58</v>
      </c>
      <c r="J399" s="4">
        <f>MAX(Inventory[[#This Row],[Qty On Hand]]-Inventory[[#This Row],[Qty Allocated]],0)</f>
        <v>60</v>
      </c>
      <c r="K399">
        <v>243</v>
      </c>
      <c r="L399" t="s">
        <v>1511</v>
      </c>
      <c r="M399" t="s">
        <v>1512</v>
      </c>
      <c r="N399" t="s">
        <v>1338</v>
      </c>
      <c r="O399" t="s">
        <v>26</v>
      </c>
      <c r="P399" t="s">
        <v>1513</v>
      </c>
      <c r="Q399" t="s">
        <v>40</v>
      </c>
    </row>
    <row r="400" spans="1:17" x14ac:dyDescent="0.25">
      <c r="A400" t="s">
        <v>1500</v>
      </c>
      <c r="B400" t="s">
        <v>789</v>
      </c>
      <c r="C400" t="s">
        <v>19</v>
      </c>
      <c r="D400" t="s">
        <v>601</v>
      </c>
      <c r="E400" t="s">
        <v>122</v>
      </c>
      <c r="F400" t="s">
        <v>35</v>
      </c>
      <c r="G400">
        <v>75201</v>
      </c>
      <c r="H400">
        <v>135</v>
      </c>
      <c r="I400">
        <v>87</v>
      </c>
      <c r="J400" s="4">
        <f>MAX(Inventory[[#This Row],[Qty On Hand]]-Inventory[[#This Row],[Qty Allocated]],0)</f>
        <v>48</v>
      </c>
      <c r="K400">
        <v>318</v>
      </c>
      <c r="L400" t="s">
        <v>1514</v>
      </c>
      <c r="M400" t="s">
        <v>1515</v>
      </c>
      <c r="N400" t="s">
        <v>1516</v>
      </c>
      <c r="O400" t="s">
        <v>26</v>
      </c>
      <c r="P400" t="s">
        <v>1517</v>
      </c>
      <c r="Q400" t="s">
        <v>92</v>
      </c>
    </row>
    <row r="401" spans="1:17" x14ac:dyDescent="0.25">
      <c r="A401" t="s">
        <v>1500</v>
      </c>
      <c r="B401" t="s">
        <v>789</v>
      </c>
      <c r="C401" t="s">
        <v>19</v>
      </c>
      <c r="D401" t="s">
        <v>601</v>
      </c>
      <c r="E401" t="s">
        <v>122</v>
      </c>
      <c r="F401" t="s">
        <v>35</v>
      </c>
      <c r="G401">
        <v>75201</v>
      </c>
      <c r="H401">
        <v>87</v>
      </c>
      <c r="I401">
        <v>9</v>
      </c>
      <c r="J401" s="4">
        <f>MAX(Inventory[[#This Row],[Qty On Hand]]-Inventory[[#This Row],[Qty Allocated]],0)</f>
        <v>78</v>
      </c>
      <c r="K401">
        <v>305</v>
      </c>
      <c r="L401" t="s">
        <v>1518</v>
      </c>
      <c r="M401" t="s">
        <v>1519</v>
      </c>
      <c r="N401" t="s">
        <v>1505</v>
      </c>
      <c r="O401" t="s">
        <v>26</v>
      </c>
      <c r="P401" t="s">
        <v>1520</v>
      </c>
      <c r="Q401" t="s">
        <v>28</v>
      </c>
    </row>
    <row r="402" spans="1:17" x14ac:dyDescent="0.25">
      <c r="A402" t="s">
        <v>1500</v>
      </c>
      <c r="B402" t="s">
        <v>789</v>
      </c>
      <c r="C402" t="s">
        <v>19</v>
      </c>
      <c r="D402" t="s">
        <v>601</v>
      </c>
      <c r="E402" t="s">
        <v>122</v>
      </c>
      <c r="F402" t="s">
        <v>62</v>
      </c>
      <c r="G402">
        <v>63101</v>
      </c>
      <c r="H402">
        <v>120</v>
      </c>
      <c r="I402">
        <v>48</v>
      </c>
      <c r="J402" s="4">
        <f>MAX(Inventory[[#This Row],[Qty On Hand]]-Inventory[[#This Row],[Qty Allocated]],0)</f>
        <v>72</v>
      </c>
      <c r="K402">
        <v>150</v>
      </c>
      <c r="L402" t="s">
        <v>1521</v>
      </c>
      <c r="M402" t="s">
        <v>1522</v>
      </c>
      <c r="N402" t="s">
        <v>129</v>
      </c>
      <c r="O402" t="s">
        <v>26</v>
      </c>
      <c r="P402" t="s">
        <v>1523</v>
      </c>
      <c r="Q402" t="s">
        <v>28</v>
      </c>
    </row>
    <row r="403" spans="1:17" x14ac:dyDescent="0.25">
      <c r="A403" t="s">
        <v>1500</v>
      </c>
      <c r="B403" t="s">
        <v>789</v>
      </c>
      <c r="C403" t="s">
        <v>19</v>
      </c>
      <c r="D403" t="s">
        <v>601</v>
      </c>
      <c r="E403" t="s">
        <v>122</v>
      </c>
      <c r="F403" t="s">
        <v>62</v>
      </c>
      <c r="G403">
        <v>63101</v>
      </c>
      <c r="H403">
        <v>155</v>
      </c>
      <c r="I403">
        <v>35</v>
      </c>
      <c r="J403" s="4">
        <f>MAX(Inventory[[#This Row],[Qty On Hand]]-Inventory[[#This Row],[Qty Allocated]],0)</f>
        <v>120</v>
      </c>
      <c r="K403">
        <v>161</v>
      </c>
      <c r="L403" t="s">
        <v>1524</v>
      </c>
      <c r="M403" t="s">
        <v>1525</v>
      </c>
      <c r="N403" t="s">
        <v>160</v>
      </c>
      <c r="O403" t="s">
        <v>26</v>
      </c>
      <c r="P403" t="s">
        <v>1526</v>
      </c>
      <c r="Q403" t="s">
        <v>40</v>
      </c>
    </row>
    <row r="404" spans="1:17" x14ac:dyDescent="0.25">
      <c r="A404" t="s">
        <v>1500</v>
      </c>
      <c r="B404" t="s">
        <v>789</v>
      </c>
      <c r="C404" t="s">
        <v>19</v>
      </c>
      <c r="D404" t="s">
        <v>601</v>
      </c>
      <c r="E404" t="s">
        <v>122</v>
      </c>
      <c r="F404" t="s">
        <v>62</v>
      </c>
      <c r="G404">
        <v>63101</v>
      </c>
      <c r="H404">
        <v>154</v>
      </c>
      <c r="I404">
        <v>51</v>
      </c>
      <c r="J404" s="4">
        <f>MAX(Inventory[[#This Row],[Qty On Hand]]-Inventory[[#This Row],[Qty Allocated]],0)</f>
        <v>103</v>
      </c>
      <c r="K404">
        <v>210</v>
      </c>
      <c r="L404" t="s">
        <v>1527</v>
      </c>
      <c r="M404" t="s">
        <v>1528</v>
      </c>
      <c r="N404" t="s">
        <v>1529</v>
      </c>
      <c r="O404" t="s">
        <v>26</v>
      </c>
      <c r="P404" t="s">
        <v>1530</v>
      </c>
      <c r="Q404" t="s">
        <v>28</v>
      </c>
    </row>
    <row r="405" spans="1:17" x14ac:dyDescent="0.25">
      <c r="A405" t="s">
        <v>1500</v>
      </c>
      <c r="B405" t="s">
        <v>789</v>
      </c>
      <c r="C405" t="s">
        <v>19</v>
      </c>
      <c r="D405" t="s">
        <v>601</v>
      </c>
      <c r="E405" t="s">
        <v>122</v>
      </c>
      <c r="F405" t="s">
        <v>62</v>
      </c>
      <c r="G405">
        <v>63101</v>
      </c>
      <c r="H405">
        <v>74</v>
      </c>
      <c r="I405">
        <v>25</v>
      </c>
      <c r="J405" s="4">
        <f>MAX(Inventory[[#This Row],[Qty On Hand]]-Inventory[[#This Row],[Qty Allocated]],0)</f>
        <v>49</v>
      </c>
      <c r="K405">
        <v>100</v>
      </c>
      <c r="L405" t="s">
        <v>1531</v>
      </c>
      <c r="M405" t="s">
        <v>1532</v>
      </c>
      <c r="N405" t="s">
        <v>1533</v>
      </c>
      <c r="O405" t="s">
        <v>48</v>
      </c>
      <c r="P405" t="s">
        <v>1534</v>
      </c>
      <c r="Q405" t="s">
        <v>34</v>
      </c>
    </row>
    <row r="406" spans="1:17" x14ac:dyDescent="0.25">
      <c r="A406" t="s">
        <v>1500</v>
      </c>
      <c r="B406" t="s">
        <v>789</v>
      </c>
      <c r="C406" t="s">
        <v>19</v>
      </c>
      <c r="D406" t="s">
        <v>601</v>
      </c>
      <c r="E406" t="s">
        <v>122</v>
      </c>
      <c r="F406" t="s">
        <v>62</v>
      </c>
      <c r="G406">
        <v>63101</v>
      </c>
      <c r="H406">
        <v>153</v>
      </c>
      <c r="I406">
        <v>37</v>
      </c>
      <c r="J406" s="4">
        <f>MAX(Inventory[[#This Row],[Qty On Hand]]-Inventory[[#This Row],[Qty Allocated]],0)</f>
        <v>116</v>
      </c>
      <c r="K406">
        <v>397</v>
      </c>
      <c r="L406" t="s">
        <v>1535</v>
      </c>
      <c r="M406" t="s">
        <v>1536</v>
      </c>
      <c r="N406" t="s">
        <v>1537</v>
      </c>
      <c r="O406" t="s">
        <v>48</v>
      </c>
      <c r="P406" t="s">
        <v>1538</v>
      </c>
      <c r="Q406" t="s">
        <v>34</v>
      </c>
    </row>
    <row r="407" spans="1:17" x14ac:dyDescent="0.25">
      <c r="A407" t="s">
        <v>1500</v>
      </c>
      <c r="B407" t="s">
        <v>789</v>
      </c>
      <c r="C407" t="s">
        <v>19</v>
      </c>
      <c r="D407" t="s">
        <v>601</v>
      </c>
      <c r="E407" t="s">
        <v>122</v>
      </c>
      <c r="F407" t="s">
        <v>83</v>
      </c>
      <c r="G407">
        <v>28202</v>
      </c>
      <c r="H407">
        <v>63</v>
      </c>
      <c r="I407">
        <v>51</v>
      </c>
      <c r="J407" s="4">
        <f>MAX(Inventory[[#This Row],[Qty On Hand]]-Inventory[[#This Row],[Qty Allocated]],0)</f>
        <v>12</v>
      </c>
      <c r="K407">
        <v>185</v>
      </c>
      <c r="L407" t="s">
        <v>1539</v>
      </c>
      <c r="M407" t="s">
        <v>1540</v>
      </c>
      <c r="N407" t="s">
        <v>1541</v>
      </c>
      <c r="O407" t="s">
        <v>48</v>
      </c>
      <c r="P407" t="s">
        <v>1542</v>
      </c>
      <c r="Q407" t="s">
        <v>92</v>
      </c>
    </row>
    <row r="408" spans="1:17" x14ac:dyDescent="0.25">
      <c r="A408" t="s">
        <v>1500</v>
      </c>
      <c r="B408" t="s">
        <v>789</v>
      </c>
      <c r="C408" t="s">
        <v>19</v>
      </c>
      <c r="D408" t="s">
        <v>601</v>
      </c>
      <c r="E408" t="s">
        <v>122</v>
      </c>
      <c r="F408" t="s">
        <v>83</v>
      </c>
      <c r="G408">
        <v>28202</v>
      </c>
      <c r="H408">
        <v>83</v>
      </c>
      <c r="I408">
        <v>4</v>
      </c>
      <c r="J408" s="4">
        <f>MAX(Inventory[[#This Row],[Qty On Hand]]-Inventory[[#This Row],[Qty Allocated]],0)</f>
        <v>79</v>
      </c>
      <c r="K408">
        <v>207</v>
      </c>
      <c r="L408" t="s">
        <v>1543</v>
      </c>
      <c r="M408" t="s">
        <v>1544</v>
      </c>
      <c r="N408" t="s">
        <v>1077</v>
      </c>
      <c r="O408" t="s">
        <v>26</v>
      </c>
      <c r="P408" t="s">
        <v>1545</v>
      </c>
      <c r="Q408" t="s">
        <v>92</v>
      </c>
    </row>
    <row r="409" spans="1:17" x14ac:dyDescent="0.25">
      <c r="A409" t="s">
        <v>1500</v>
      </c>
      <c r="B409" t="s">
        <v>789</v>
      </c>
      <c r="C409" t="s">
        <v>19</v>
      </c>
      <c r="D409" t="s">
        <v>601</v>
      </c>
      <c r="E409" t="s">
        <v>122</v>
      </c>
      <c r="F409" t="s">
        <v>83</v>
      </c>
      <c r="G409">
        <v>28202</v>
      </c>
      <c r="H409">
        <v>109</v>
      </c>
      <c r="I409">
        <v>68</v>
      </c>
      <c r="J409" s="4">
        <f>MAX(Inventory[[#This Row],[Qty On Hand]]-Inventory[[#This Row],[Qty Allocated]],0)</f>
        <v>41</v>
      </c>
      <c r="K409">
        <v>210</v>
      </c>
      <c r="L409" t="s">
        <v>780</v>
      </c>
      <c r="M409" t="s">
        <v>1546</v>
      </c>
      <c r="N409" t="s">
        <v>1547</v>
      </c>
      <c r="O409" t="s">
        <v>26</v>
      </c>
      <c r="P409" t="s">
        <v>920</v>
      </c>
      <c r="Q409" t="s">
        <v>34</v>
      </c>
    </row>
    <row r="410" spans="1:17" x14ac:dyDescent="0.25">
      <c r="A410" t="s">
        <v>1500</v>
      </c>
      <c r="B410" t="s">
        <v>789</v>
      </c>
      <c r="C410" t="s">
        <v>19</v>
      </c>
      <c r="D410" t="s">
        <v>601</v>
      </c>
      <c r="E410" t="s">
        <v>122</v>
      </c>
      <c r="F410" t="s">
        <v>83</v>
      </c>
      <c r="G410">
        <v>28202</v>
      </c>
      <c r="H410">
        <v>107</v>
      </c>
      <c r="I410">
        <v>65</v>
      </c>
      <c r="J410" s="4">
        <f>MAX(Inventory[[#This Row],[Qty On Hand]]-Inventory[[#This Row],[Qty Allocated]],0)</f>
        <v>42</v>
      </c>
      <c r="K410">
        <v>145</v>
      </c>
      <c r="L410" t="s">
        <v>1548</v>
      </c>
      <c r="M410" t="s">
        <v>1549</v>
      </c>
      <c r="N410" t="s">
        <v>616</v>
      </c>
      <c r="O410" t="s">
        <v>26</v>
      </c>
      <c r="P410" t="s">
        <v>1550</v>
      </c>
      <c r="Q410" t="s">
        <v>92</v>
      </c>
    </row>
    <row r="411" spans="1:17" x14ac:dyDescent="0.25">
      <c r="A411" t="s">
        <v>1500</v>
      </c>
      <c r="B411" t="s">
        <v>789</v>
      </c>
      <c r="C411" t="s">
        <v>19</v>
      </c>
      <c r="D411" t="s">
        <v>601</v>
      </c>
      <c r="E411" t="s">
        <v>122</v>
      </c>
      <c r="F411" t="s">
        <v>83</v>
      </c>
      <c r="G411">
        <v>28202</v>
      </c>
      <c r="H411">
        <v>136</v>
      </c>
      <c r="I411">
        <v>0</v>
      </c>
      <c r="J411" s="4">
        <f>MAX(Inventory[[#This Row],[Qty On Hand]]-Inventory[[#This Row],[Qty Allocated]],0)</f>
        <v>136</v>
      </c>
      <c r="K411">
        <v>174</v>
      </c>
      <c r="L411" t="s">
        <v>1551</v>
      </c>
      <c r="M411" t="s">
        <v>1552</v>
      </c>
      <c r="N411" t="s">
        <v>1553</v>
      </c>
      <c r="O411" t="s">
        <v>26</v>
      </c>
      <c r="P411" t="s">
        <v>1554</v>
      </c>
      <c r="Q411" t="s">
        <v>40</v>
      </c>
    </row>
    <row r="412" spans="1:17" x14ac:dyDescent="0.25">
      <c r="A412" t="s">
        <v>1555</v>
      </c>
      <c r="B412" t="s">
        <v>789</v>
      </c>
      <c r="C412" t="s">
        <v>19</v>
      </c>
      <c r="D412" t="s">
        <v>601</v>
      </c>
      <c r="E412" t="s">
        <v>171</v>
      </c>
      <c r="F412" t="s">
        <v>22</v>
      </c>
      <c r="G412">
        <v>94102</v>
      </c>
      <c r="H412">
        <v>2</v>
      </c>
      <c r="I412">
        <v>0</v>
      </c>
      <c r="J412" s="4">
        <f>MAX(Inventory[[#This Row],[Qty On Hand]]-Inventory[[#This Row],[Qty Allocated]],0)</f>
        <v>2</v>
      </c>
      <c r="K412">
        <v>543</v>
      </c>
      <c r="L412" t="s">
        <v>1556</v>
      </c>
      <c r="M412" t="s">
        <v>1557</v>
      </c>
      <c r="N412" t="s">
        <v>1302</v>
      </c>
      <c r="O412" t="s">
        <v>26</v>
      </c>
      <c r="P412" t="s">
        <v>1367</v>
      </c>
      <c r="Q412" t="s">
        <v>40</v>
      </c>
    </row>
    <row r="413" spans="1:17" x14ac:dyDescent="0.25">
      <c r="A413" t="s">
        <v>1555</v>
      </c>
      <c r="B413" t="s">
        <v>789</v>
      </c>
      <c r="C413" t="s">
        <v>19</v>
      </c>
      <c r="D413" t="s">
        <v>601</v>
      </c>
      <c r="E413" t="s">
        <v>171</v>
      </c>
      <c r="F413" t="s">
        <v>29</v>
      </c>
      <c r="G413">
        <v>98072</v>
      </c>
      <c r="H413">
        <v>169</v>
      </c>
      <c r="I413">
        <v>95</v>
      </c>
      <c r="J413" s="4">
        <f>MAX(Inventory[[#This Row],[Qty On Hand]]-Inventory[[#This Row],[Qty Allocated]],0)</f>
        <v>74</v>
      </c>
      <c r="K413">
        <v>544</v>
      </c>
      <c r="L413" t="s">
        <v>1493</v>
      </c>
      <c r="M413" t="s">
        <v>1558</v>
      </c>
      <c r="N413" t="s">
        <v>575</v>
      </c>
      <c r="O413" t="s">
        <v>26</v>
      </c>
      <c r="P413" t="s">
        <v>1559</v>
      </c>
      <c r="Q413" t="s">
        <v>40</v>
      </c>
    </row>
    <row r="414" spans="1:17" x14ac:dyDescent="0.25">
      <c r="A414" t="s">
        <v>1555</v>
      </c>
      <c r="B414" t="s">
        <v>789</v>
      </c>
      <c r="C414" t="s">
        <v>19</v>
      </c>
      <c r="D414" t="s">
        <v>601</v>
      </c>
      <c r="E414" t="s">
        <v>171</v>
      </c>
      <c r="F414" t="s">
        <v>35</v>
      </c>
      <c r="G414">
        <v>75201</v>
      </c>
      <c r="H414">
        <v>119</v>
      </c>
      <c r="I414">
        <v>87</v>
      </c>
      <c r="J414" s="4">
        <f>MAX(Inventory[[#This Row],[Qty On Hand]]-Inventory[[#This Row],[Qty Allocated]],0)</f>
        <v>32</v>
      </c>
      <c r="K414">
        <v>235</v>
      </c>
      <c r="L414" t="s">
        <v>1560</v>
      </c>
      <c r="M414" t="s">
        <v>1561</v>
      </c>
      <c r="N414" t="s">
        <v>1562</v>
      </c>
      <c r="O414" t="s">
        <v>26</v>
      </c>
      <c r="P414" t="s">
        <v>1563</v>
      </c>
      <c r="Q414" t="s">
        <v>28</v>
      </c>
    </row>
    <row r="415" spans="1:17" x14ac:dyDescent="0.25">
      <c r="A415" t="s">
        <v>1555</v>
      </c>
      <c r="B415" t="s">
        <v>789</v>
      </c>
      <c r="C415" t="s">
        <v>19</v>
      </c>
      <c r="D415" t="s">
        <v>601</v>
      </c>
      <c r="E415" t="s">
        <v>171</v>
      </c>
      <c r="F415" t="s">
        <v>35</v>
      </c>
      <c r="G415">
        <v>75201</v>
      </c>
      <c r="H415">
        <v>164</v>
      </c>
      <c r="I415">
        <v>38</v>
      </c>
      <c r="J415" s="4">
        <f>MAX(Inventory[[#This Row],[Qty On Hand]]-Inventory[[#This Row],[Qty Allocated]],0)</f>
        <v>126</v>
      </c>
      <c r="K415">
        <v>199</v>
      </c>
      <c r="L415" t="s">
        <v>1564</v>
      </c>
      <c r="M415" t="s">
        <v>1565</v>
      </c>
      <c r="N415" t="s">
        <v>1362</v>
      </c>
      <c r="O415" t="s">
        <v>48</v>
      </c>
      <c r="P415" t="s">
        <v>1122</v>
      </c>
      <c r="Q415" t="s">
        <v>28</v>
      </c>
    </row>
    <row r="416" spans="1:17" x14ac:dyDescent="0.25">
      <c r="A416" t="s">
        <v>1555</v>
      </c>
      <c r="B416" t="s">
        <v>789</v>
      </c>
      <c r="C416" t="s">
        <v>19</v>
      </c>
      <c r="D416" t="s">
        <v>601</v>
      </c>
      <c r="E416" t="s">
        <v>171</v>
      </c>
      <c r="F416" t="s">
        <v>35</v>
      </c>
      <c r="G416">
        <v>75201</v>
      </c>
      <c r="H416">
        <v>90</v>
      </c>
      <c r="I416">
        <v>27</v>
      </c>
      <c r="J416" s="4">
        <f>MAX(Inventory[[#This Row],[Qty On Hand]]-Inventory[[#This Row],[Qty Allocated]],0)</f>
        <v>63</v>
      </c>
      <c r="K416">
        <v>350</v>
      </c>
      <c r="L416" t="s">
        <v>1566</v>
      </c>
      <c r="M416" t="s">
        <v>1567</v>
      </c>
      <c r="N416" t="s">
        <v>1568</v>
      </c>
      <c r="O416" t="s">
        <v>26</v>
      </c>
      <c r="P416" t="s">
        <v>1569</v>
      </c>
      <c r="Q416" t="s">
        <v>28</v>
      </c>
    </row>
    <row r="417" spans="1:17" x14ac:dyDescent="0.25">
      <c r="A417" t="s">
        <v>1555</v>
      </c>
      <c r="B417" t="s">
        <v>789</v>
      </c>
      <c r="C417" t="s">
        <v>19</v>
      </c>
      <c r="D417" t="s">
        <v>601</v>
      </c>
      <c r="E417" t="s">
        <v>171</v>
      </c>
      <c r="F417" t="s">
        <v>35</v>
      </c>
      <c r="G417">
        <v>75201</v>
      </c>
      <c r="H417">
        <v>124</v>
      </c>
      <c r="I417">
        <v>10</v>
      </c>
      <c r="J417" s="4">
        <f>MAX(Inventory[[#This Row],[Qty On Hand]]-Inventory[[#This Row],[Qty Allocated]],0)</f>
        <v>114</v>
      </c>
      <c r="K417">
        <v>211</v>
      </c>
      <c r="L417" t="s">
        <v>1570</v>
      </c>
      <c r="M417" t="s">
        <v>1571</v>
      </c>
      <c r="N417" t="s">
        <v>1572</v>
      </c>
      <c r="O417" t="s">
        <v>26</v>
      </c>
      <c r="P417" t="s">
        <v>1573</v>
      </c>
      <c r="Q417" t="s">
        <v>28</v>
      </c>
    </row>
    <row r="418" spans="1:17" x14ac:dyDescent="0.25">
      <c r="A418" t="s">
        <v>1555</v>
      </c>
      <c r="B418" t="s">
        <v>789</v>
      </c>
      <c r="C418" t="s">
        <v>19</v>
      </c>
      <c r="D418" t="s">
        <v>601</v>
      </c>
      <c r="E418" t="s">
        <v>171</v>
      </c>
      <c r="F418" t="s">
        <v>35</v>
      </c>
      <c r="G418">
        <v>75201</v>
      </c>
      <c r="H418">
        <v>112</v>
      </c>
      <c r="I418">
        <v>47</v>
      </c>
      <c r="J418" s="4">
        <f>MAX(Inventory[[#This Row],[Qty On Hand]]-Inventory[[#This Row],[Qty Allocated]],0)</f>
        <v>65</v>
      </c>
      <c r="K418">
        <v>252</v>
      </c>
      <c r="L418" t="s">
        <v>1574</v>
      </c>
      <c r="M418" t="s">
        <v>1575</v>
      </c>
      <c r="N418" t="s">
        <v>284</v>
      </c>
      <c r="O418" t="s">
        <v>48</v>
      </c>
      <c r="P418" t="s">
        <v>1576</v>
      </c>
      <c r="Q418" t="s">
        <v>28</v>
      </c>
    </row>
    <row r="419" spans="1:17" x14ac:dyDescent="0.25">
      <c r="A419" t="s">
        <v>1555</v>
      </c>
      <c r="B419" t="s">
        <v>789</v>
      </c>
      <c r="C419" t="s">
        <v>19</v>
      </c>
      <c r="D419" t="s">
        <v>601</v>
      </c>
      <c r="E419" t="s">
        <v>171</v>
      </c>
      <c r="F419" t="s">
        <v>35</v>
      </c>
      <c r="G419">
        <v>75201</v>
      </c>
      <c r="H419">
        <v>61</v>
      </c>
      <c r="I419">
        <v>88</v>
      </c>
      <c r="J419" s="4">
        <f>MAX(Inventory[[#This Row],[Qty On Hand]]-Inventory[[#This Row],[Qty Allocated]],0)</f>
        <v>0</v>
      </c>
      <c r="K419">
        <v>287</v>
      </c>
      <c r="L419" t="s">
        <v>1577</v>
      </c>
      <c r="M419" t="s">
        <v>1578</v>
      </c>
      <c r="N419" t="s">
        <v>1579</v>
      </c>
      <c r="O419" t="s">
        <v>26</v>
      </c>
      <c r="P419" t="s">
        <v>1580</v>
      </c>
      <c r="Q419" t="s">
        <v>40</v>
      </c>
    </row>
    <row r="420" spans="1:17" x14ac:dyDescent="0.25">
      <c r="A420" t="s">
        <v>1555</v>
      </c>
      <c r="B420" t="s">
        <v>789</v>
      </c>
      <c r="C420" t="s">
        <v>19</v>
      </c>
      <c r="D420" t="s">
        <v>601</v>
      </c>
      <c r="E420" t="s">
        <v>171</v>
      </c>
      <c r="F420" t="s">
        <v>62</v>
      </c>
      <c r="G420">
        <v>63101</v>
      </c>
      <c r="H420">
        <v>164</v>
      </c>
      <c r="I420">
        <v>14</v>
      </c>
      <c r="J420" s="4">
        <f>MAX(Inventory[[#This Row],[Qty On Hand]]-Inventory[[#This Row],[Qty Allocated]],0)</f>
        <v>150</v>
      </c>
      <c r="K420">
        <v>352</v>
      </c>
      <c r="L420" t="s">
        <v>1581</v>
      </c>
      <c r="M420" t="s">
        <v>1582</v>
      </c>
      <c r="N420" t="s">
        <v>1583</v>
      </c>
      <c r="O420" t="s">
        <v>48</v>
      </c>
      <c r="P420" t="s">
        <v>1584</v>
      </c>
      <c r="Q420" t="s">
        <v>92</v>
      </c>
    </row>
    <row r="421" spans="1:17" x14ac:dyDescent="0.25">
      <c r="A421" t="s">
        <v>1555</v>
      </c>
      <c r="B421" t="s">
        <v>789</v>
      </c>
      <c r="C421" t="s">
        <v>19</v>
      </c>
      <c r="D421" t="s">
        <v>601</v>
      </c>
      <c r="E421" t="s">
        <v>171</v>
      </c>
      <c r="F421" t="s">
        <v>62</v>
      </c>
      <c r="G421">
        <v>63101</v>
      </c>
      <c r="H421">
        <v>66</v>
      </c>
      <c r="I421">
        <v>10</v>
      </c>
      <c r="J421" s="4">
        <f>MAX(Inventory[[#This Row],[Qty On Hand]]-Inventory[[#This Row],[Qty Allocated]],0)</f>
        <v>56</v>
      </c>
      <c r="K421">
        <v>387</v>
      </c>
      <c r="L421" t="s">
        <v>1585</v>
      </c>
      <c r="M421" t="s">
        <v>1586</v>
      </c>
      <c r="N421" t="s">
        <v>1587</v>
      </c>
      <c r="O421" t="s">
        <v>26</v>
      </c>
      <c r="P421" t="s">
        <v>1588</v>
      </c>
      <c r="Q421" t="s">
        <v>92</v>
      </c>
    </row>
    <row r="422" spans="1:17" x14ac:dyDescent="0.25">
      <c r="A422" t="s">
        <v>1555</v>
      </c>
      <c r="B422" t="s">
        <v>789</v>
      </c>
      <c r="C422" t="s">
        <v>19</v>
      </c>
      <c r="D422" t="s">
        <v>601</v>
      </c>
      <c r="E422" t="s">
        <v>171</v>
      </c>
      <c r="F422" t="s">
        <v>62</v>
      </c>
      <c r="G422">
        <v>63101</v>
      </c>
      <c r="H422">
        <v>71</v>
      </c>
      <c r="I422">
        <v>43</v>
      </c>
      <c r="J422" s="4">
        <f>MAX(Inventory[[#This Row],[Qty On Hand]]-Inventory[[#This Row],[Qty Allocated]],0)</f>
        <v>28</v>
      </c>
      <c r="K422">
        <v>289</v>
      </c>
      <c r="L422" t="s">
        <v>1589</v>
      </c>
      <c r="M422" t="s">
        <v>1590</v>
      </c>
      <c r="N422" t="s">
        <v>1591</v>
      </c>
      <c r="O422" t="s">
        <v>48</v>
      </c>
      <c r="P422" t="s">
        <v>960</v>
      </c>
      <c r="Q422" t="s">
        <v>92</v>
      </c>
    </row>
    <row r="423" spans="1:17" x14ac:dyDescent="0.25">
      <c r="A423" t="s">
        <v>1555</v>
      </c>
      <c r="B423" t="s">
        <v>789</v>
      </c>
      <c r="C423" t="s">
        <v>19</v>
      </c>
      <c r="D423" t="s">
        <v>601</v>
      </c>
      <c r="E423" t="s">
        <v>171</v>
      </c>
      <c r="F423" t="s">
        <v>83</v>
      </c>
      <c r="G423">
        <v>28202</v>
      </c>
      <c r="H423">
        <v>69</v>
      </c>
      <c r="I423">
        <v>13</v>
      </c>
      <c r="J423" s="4">
        <f>MAX(Inventory[[#This Row],[Qty On Hand]]-Inventory[[#This Row],[Qty Allocated]],0)</f>
        <v>56</v>
      </c>
      <c r="K423">
        <v>208</v>
      </c>
      <c r="L423" t="s">
        <v>1592</v>
      </c>
      <c r="M423" t="s">
        <v>1593</v>
      </c>
      <c r="N423" t="s">
        <v>1594</v>
      </c>
      <c r="O423" t="s">
        <v>26</v>
      </c>
      <c r="P423" t="s">
        <v>1595</v>
      </c>
      <c r="Q423" t="s">
        <v>28</v>
      </c>
    </row>
    <row r="424" spans="1:17" x14ac:dyDescent="0.25">
      <c r="A424" t="s">
        <v>1555</v>
      </c>
      <c r="B424" t="s">
        <v>789</v>
      </c>
      <c r="C424" t="s">
        <v>19</v>
      </c>
      <c r="D424" t="s">
        <v>601</v>
      </c>
      <c r="E424" t="s">
        <v>171</v>
      </c>
      <c r="F424" t="s">
        <v>83</v>
      </c>
      <c r="G424">
        <v>28202</v>
      </c>
      <c r="H424">
        <v>113</v>
      </c>
      <c r="I424">
        <v>45</v>
      </c>
      <c r="J424" s="4">
        <f>MAX(Inventory[[#This Row],[Qty On Hand]]-Inventory[[#This Row],[Qty Allocated]],0)</f>
        <v>68</v>
      </c>
      <c r="K424">
        <v>199</v>
      </c>
      <c r="L424" t="s">
        <v>1596</v>
      </c>
      <c r="M424" t="s">
        <v>1597</v>
      </c>
      <c r="N424" t="s">
        <v>1598</v>
      </c>
      <c r="O424" t="s">
        <v>26</v>
      </c>
      <c r="P424" t="s">
        <v>1599</v>
      </c>
      <c r="Q424" t="s">
        <v>28</v>
      </c>
    </row>
    <row r="425" spans="1:17" x14ac:dyDescent="0.25">
      <c r="A425" t="s">
        <v>1555</v>
      </c>
      <c r="B425" t="s">
        <v>789</v>
      </c>
      <c r="C425" t="s">
        <v>19</v>
      </c>
      <c r="D425" t="s">
        <v>601</v>
      </c>
      <c r="E425" t="s">
        <v>171</v>
      </c>
      <c r="F425" t="s">
        <v>83</v>
      </c>
      <c r="G425">
        <v>28202</v>
      </c>
      <c r="H425">
        <v>172</v>
      </c>
      <c r="I425">
        <v>78</v>
      </c>
      <c r="J425" s="4">
        <f>MAX(Inventory[[#This Row],[Qty On Hand]]-Inventory[[#This Row],[Qty Allocated]],0)</f>
        <v>94</v>
      </c>
      <c r="K425">
        <v>290</v>
      </c>
      <c r="L425" t="s">
        <v>1600</v>
      </c>
      <c r="M425" t="s">
        <v>1601</v>
      </c>
      <c r="N425" t="s">
        <v>1602</v>
      </c>
      <c r="O425" t="s">
        <v>48</v>
      </c>
      <c r="P425" t="s">
        <v>1603</v>
      </c>
      <c r="Q425" t="s">
        <v>34</v>
      </c>
    </row>
    <row r="426" spans="1:17" x14ac:dyDescent="0.25">
      <c r="A426" t="s">
        <v>1555</v>
      </c>
      <c r="B426" t="s">
        <v>789</v>
      </c>
      <c r="C426" t="s">
        <v>19</v>
      </c>
      <c r="D426" t="s">
        <v>601</v>
      </c>
      <c r="E426" t="s">
        <v>171</v>
      </c>
      <c r="F426" t="s">
        <v>83</v>
      </c>
      <c r="G426">
        <v>28202</v>
      </c>
      <c r="H426">
        <v>103</v>
      </c>
      <c r="I426">
        <v>74</v>
      </c>
      <c r="J426" s="4">
        <f>MAX(Inventory[[#This Row],[Qty On Hand]]-Inventory[[#This Row],[Qty Allocated]],0)</f>
        <v>29</v>
      </c>
      <c r="K426">
        <v>298</v>
      </c>
      <c r="L426" t="s">
        <v>1604</v>
      </c>
      <c r="M426" t="s">
        <v>1605</v>
      </c>
      <c r="N426" t="s">
        <v>1606</v>
      </c>
      <c r="O426" t="s">
        <v>26</v>
      </c>
      <c r="P426" t="s">
        <v>880</v>
      </c>
      <c r="Q426" t="s">
        <v>28</v>
      </c>
    </row>
    <row r="427" spans="1:17" x14ac:dyDescent="0.25">
      <c r="A427" t="s">
        <v>1555</v>
      </c>
      <c r="B427" t="s">
        <v>789</v>
      </c>
      <c r="C427" t="s">
        <v>19</v>
      </c>
      <c r="D427" t="s">
        <v>601</v>
      </c>
      <c r="E427" t="s">
        <v>171</v>
      </c>
      <c r="F427" t="s">
        <v>83</v>
      </c>
      <c r="G427">
        <v>28202</v>
      </c>
      <c r="H427">
        <v>169</v>
      </c>
      <c r="I427">
        <v>59</v>
      </c>
      <c r="J427" s="4">
        <f>MAX(Inventory[[#This Row],[Qty On Hand]]-Inventory[[#This Row],[Qty Allocated]],0)</f>
        <v>110</v>
      </c>
      <c r="K427">
        <v>206</v>
      </c>
      <c r="L427" t="s">
        <v>1607</v>
      </c>
      <c r="M427" t="s">
        <v>1608</v>
      </c>
      <c r="N427" t="s">
        <v>1609</v>
      </c>
      <c r="O427" t="s">
        <v>26</v>
      </c>
      <c r="P427" t="s">
        <v>1610</v>
      </c>
      <c r="Q427" t="s">
        <v>34</v>
      </c>
    </row>
    <row r="428" spans="1:17" x14ac:dyDescent="0.25">
      <c r="A428" t="s">
        <v>1611</v>
      </c>
      <c r="B428" t="s">
        <v>1612</v>
      </c>
      <c r="C428" t="s">
        <v>19</v>
      </c>
      <c r="D428" t="s">
        <v>20</v>
      </c>
      <c r="E428" t="s">
        <v>21</v>
      </c>
      <c r="F428" t="s">
        <v>22</v>
      </c>
      <c r="G428">
        <v>94102</v>
      </c>
      <c r="H428">
        <v>6</v>
      </c>
      <c r="I428">
        <v>4</v>
      </c>
      <c r="J428" s="4">
        <f>MAX(Inventory[[#This Row],[Qty On Hand]]-Inventory[[#This Row],[Qty Allocated]],0)</f>
        <v>2</v>
      </c>
      <c r="K428">
        <v>432</v>
      </c>
      <c r="L428" t="s">
        <v>1613</v>
      </c>
      <c r="M428" t="s">
        <v>1614</v>
      </c>
      <c r="N428" t="s">
        <v>327</v>
      </c>
      <c r="O428" t="s">
        <v>26</v>
      </c>
      <c r="P428" t="s">
        <v>1615</v>
      </c>
      <c r="Q428" t="s">
        <v>28</v>
      </c>
    </row>
    <row r="429" spans="1:17" x14ac:dyDescent="0.25">
      <c r="A429" t="s">
        <v>1611</v>
      </c>
      <c r="B429" t="s">
        <v>1612</v>
      </c>
      <c r="C429" t="s">
        <v>19</v>
      </c>
      <c r="D429" t="s">
        <v>20</v>
      </c>
      <c r="E429" t="s">
        <v>21</v>
      </c>
      <c r="F429" t="s">
        <v>29</v>
      </c>
      <c r="G429">
        <v>98072</v>
      </c>
      <c r="H429">
        <v>2784</v>
      </c>
      <c r="I429">
        <v>6</v>
      </c>
      <c r="J429" s="4">
        <f>MAX(Inventory[[#This Row],[Qty On Hand]]-Inventory[[#This Row],[Qty Allocated]],0)</f>
        <v>2778</v>
      </c>
      <c r="K429">
        <v>356</v>
      </c>
      <c r="L429" t="s">
        <v>1616</v>
      </c>
      <c r="M429" t="s">
        <v>1617</v>
      </c>
      <c r="N429" t="s">
        <v>1618</v>
      </c>
      <c r="O429" t="s">
        <v>26</v>
      </c>
      <c r="P429" t="s">
        <v>1619</v>
      </c>
      <c r="Q429" t="s">
        <v>40</v>
      </c>
    </row>
    <row r="430" spans="1:17" x14ac:dyDescent="0.25">
      <c r="A430" t="s">
        <v>1611</v>
      </c>
      <c r="B430" t="s">
        <v>1612</v>
      </c>
      <c r="C430" t="s">
        <v>19</v>
      </c>
      <c r="D430" t="s">
        <v>20</v>
      </c>
      <c r="E430" t="s">
        <v>21</v>
      </c>
      <c r="F430" t="s">
        <v>35</v>
      </c>
      <c r="G430">
        <v>75201</v>
      </c>
      <c r="H430">
        <v>526</v>
      </c>
      <c r="I430">
        <v>58</v>
      </c>
      <c r="J430" s="4">
        <f>MAX(Inventory[[#This Row],[Qty On Hand]]-Inventory[[#This Row],[Qty Allocated]],0)</f>
        <v>468</v>
      </c>
      <c r="K430">
        <v>395</v>
      </c>
      <c r="L430" t="s">
        <v>1620</v>
      </c>
      <c r="M430" t="s">
        <v>1621</v>
      </c>
      <c r="N430" t="s">
        <v>1366</v>
      </c>
      <c r="O430" t="s">
        <v>26</v>
      </c>
      <c r="P430" t="s">
        <v>1622</v>
      </c>
      <c r="Q430" t="s">
        <v>92</v>
      </c>
    </row>
    <row r="431" spans="1:17" x14ac:dyDescent="0.25">
      <c r="A431" t="s">
        <v>1611</v>
      </c>
      <c r="B431" t="s">
        <v>1612</v>
      </c>
      <c r="C431" t="s">
        <v>19</v>
      </c>
      <c r="D431" t="s">
        <v>20</v>
      </c>
      <c r="E431" t="s">
        <v>21</v>
      </c>
      <c r="F431" t="s">
        <v>35</v>
      </c>
      <c r="G431">
        <v>75201</v>
      </c>
      <c r="H431">
        <v>367</v>
      </c>
      <c r="I431">
        <v>62</v>
      </c>
      <c r="J431" s="4">
        <f>MAX(Inventory[[#This Row],[Qty On Hand]]-Inventory[[#This Row],[Qty Allocated]],0)</f>
        <v>305</v>
      </c>
      <c r="K431">
        <v>370</v>
      </c>
      <c r="L431" t="s">
        <v>1623</v>
      </c>
      <c r="M431" t="s">
        <v>1624</v>
      </c>
      <c r="N431" t="s">
        <v>1625</v>
      </c>
      <c r="O431" t="s">
        <v>26</v>
      </c>
      <c r="P431" t="s">
        <v>365</v>
      </c>
      <c r="Q431" t="s">
        <v>92</v>
      </c>
    </row>
    <row r="432" spans="1:17" x14ac:dyDescent="0.25">
      <c r="A432" t="s">
        <v>1611</v>
      </c>
      <c r="B432" t="s">
        <v>1612</v>
      </c>
      <c r="C432" t="s">
        <v>19</v>
      </c>
      <c r="D432" t="s">
        <v>20</v>
      </c>
      <c r="E432" t="s">
        <v>21</v>
      </c>
      <c r="F432" t="s">
        <v>35</v>
      </c>
      <c r="G432">
        <v>75201</v>
      </c>
      <c r="H432">
        <v>369</v>
      </c>
      <c r="I432">
        <v>37</v>
      </c>
      <c r="J432" s="4">
        <f>MAX(Inventory[[#This Row],[Qty On Hand]]-Inventory[[#This Row],[Qty Allocated]],0)</f>
        <v>332</v>
      </c>
      <c r="K432">
        <v>118</v>
      </c>
      <c r="L432" t="s">
        <v>1626</v>
      </c>
      <c r="M432" t="s">
        <v>1627</v>
      </c>
      <c r="N432" t="s">
        <v>1299</v>
      </c>
      <c r="O432" t="s">
        <v>26</v>
      </c>
      <c r="P432" t="s">
        <v>1628</v>
      </c>
      <c r="Q432" t="s">
        <v>28</v>
      </c>
    </row>
    <row r="433" spans="1:17" x14ac:dyDescent="0.25">
      <c r="A433" t="s">
        <v>1611</v>
      </c>
      <c r="B433" t="s">
        <v>1612</v>
      </c>
      <c r="C433" t="s">
        <v>19</v>
      </c>
      <c r="D433" t="s">
        <v>20</v>
      </c>
      <c r="E433" t="s">
        <v>21</v>
      </c>
      <c r="F433" t="s">
        <v>35</v>
      </c>
      <c r="G433">
        <v>75201</v>
      </c>
      <c r="H433">
        <v>863</v>
      </c>
      <c r="I433">
        <v>38</v>
      </c>
      <c r="J433" s="4">
        <f>MAX(Inventory[[#This Row],[Qty On Hand]]-Inventory[[#This Row],[Qty Allocated]],0)</f>
        <v>825</v>
      </c>
      <c r="K433">
        <v>253</v>
      </c>
      <c r="L433" t="s">
        <v>1629</v>
      </c>
      <c r="M433" t="s">
        <v>1630</v>
      </c>
      <c r="N433" t="s">
        <v>393</v>
      </c>
      <c r="O433" t="s">
        <v>26</v>
      </c>
      <c r="P433" t="s">
        <v>1188</v>
      </c>
      <c r="Q433" t="s">
        <v>92</v>
      </c>
    </row>
    <row r="434" spans="1:17" x14ac:dyDescent="0.25">
      <c r="A434" t="s">
        <v>1611</v>
      </c>
      <c r="B434" t="s">
        <v>1612</v>
      </c>
      <c r="C434" t="s">
        <v>19</v>
      </c>
      <c r="D434" t="s">
        <v>20</v>
      </c>
      <c r="E434" t="s">
        <v>21</v>
      </c>
      <c r="F434" t="s">
        <v>35</v>
      </c>
      <c r="G434">
        <v>75201</v>
      </c>
      <c r="H434">
        <v>647</v>
      </c>
      <c r="I434">
        <v>97</v>
      </c>
      <c r="J434" s="4">
        <f>MAX(Inventory[[#This Row],[Qty On Hand]]-Inventory[[#This Row],[Qty Allocated]],0)</f>
        <v>550</v>
      </c>
      <c r="K434">
        <v>253</v>
      </c>
      <c r="L434" t="s">
        <v>1631</v>
      </c>
      <c r="M434" t="s">
        <v>1632</v>
      </c>
      <c r="N434" t="s">
        <v>1633</v>
      </c>
      <c r="O434" t="s">
        <v>26</v>
      </c>
      <c r="P434" t="s">
        <v>539</v>
      </c>
      <c r="Q434" t="s">
        <v>40</v>
      </c>
    </row>
    <row r="435" spans="1:17" x14ac:dyDescent="0.25">
      <c r="A435" t="s">
        <v>1611</v>
      </c>
      <c r="B435" t="s">
        <v>1612</v>
      </c>
      <c r="C435" t="s">
        <v>19</v>
      </c>
      <c r="D435" t="s">
        <v>20</v>
      </c>
      <c r="E435" t="s">
        <v>21</v>
      </c>
      <c r="F435" t="s">
        <v>35</v>
      </c>
      <c r="G435">
        <v>75201</v>
      </c>
      <c r="H435">
        <v>494</v>
      </c>
      <c r="I435">
        <v>77</v>
      </c>
      <c r="J435" s="4">
        <f>MAX(Inventory[[#This Row],[Qty On Hand]]-Inventory[[#This Row],[Qty Allocated]],0)</f>
        <v>417</v>
      </c>
      <c r="K435">
        <v>319</v>
      </c>
      <c r="L435" t="s">
        <v>1634</v>
      </c>
      <c r="M435" t="s">
        <v>1635</v>
      </c>
      <c r="N435" t="s">
        <v>1636</v>
      </c>
      <c r="O435" t="s">
        <v>26</v>
      </c>
      <c r="P435" t="s">
        <v>1323</v>
      </c>
      <c r="Q435" t="s">
        <v>34</v>
      </c>
    </row>
    <row r="436" spans="1:17" x14ac:dyDescent="0.25">
      <c r="A436" t="s">
        <v>1611</v>
      </c>
      <c r="B436" t="s">
        <v>1612</v>
      </c>
      <c r="C436" t="s">
        <v>19</v>
      </c>
      <c r="D436" t="s">
        <v>20</v>
      </c>
      <c r="E436" t="s">
        <v>21</v>
      </c>
      <c r="F436" t="s">
        <v>62</v>
      </c>
      <c r="G436">
        <v>63101</v>
      </c>
      <c r="H436">
        <v>872</v>
      </c>
      <c r="I436">
        <v>85</v>
      </c>
      <c r="J436" s="4">
        <f>MAX(Inventory[[#This Row],[Qty On Hand]]-Inventory[[#This Row],[Qty Allocated]],0)</f>
        <v>787</v>
      </c>
      <c r="K436">
        <v>321</v>
      </c>
      <c r="L436" t="s">
        <v>1637</v>
      </c>
      <c r="M436" t="s">
        <v>1638</v>
      </c>
      <c r="N436" t="s">
        <v>1639</v>
      </c>
      <c r="O436" t="s">
        <v>26</v>
      </c>
      <c r="P436" t="s">
        <v>1640</v>
      </c>
      <c r="Q436" t="s">
        <v>40</v>
      </c>
    </row>
    <row r="437" spans="1:17" x14ac:dyDescent="0.25">
      <c r="A437" t="s">
        <v>1611</v>
      </c>
      <c r="B437" t="s">
        <v>1612</v>
      </c>
      <c r="C437" t="s">
        <v>19</v>
      </c>
      <c r="D437" t="s">
        <v>20</v>
      </c>
      <c r="E437" t="s">
        <v>21</v>
      </c>
      <c r="F437" t="s">
        <v>62</v>
      </c>
      <c r="G437">
        <v>63101</v>
      </c>
      <c r="H437">
        <v>204</v>
      </c>
      <c r="I437">
        <v>6</v>
      </c>
      <c r="J437" s="4">
        <f>MAX(Inventory[[#This Row],[Qty On Hand]]-Inventory[[#This Row],[Qty Allocated]],0)</f>
        <v>198</v>
      </c>
      <c r="K437">
        <v>106</v>
      </c>
      <c r="L437" t="s">
        <v>1641</v>
      </c>
      <c r="M437" t="s">
        <v>1642</v>
      </c>
      <c r="N437" t="s">
        <v>1643</v>
      </c>
      <c r="O437" t="s">
        <v>26</v>
      </c>
      <c r="P437" t="s">
        <v>1345</v>
      </c>
      <c r="Q437" t="s">
        <v>28</v>
      </c>
    </row>
    <row r="438" spans="1:17" x14ac:dyDescent="0.25">
      <c r="A438" t="s">
        <v>1611</v>
      </c>
      <c r="B438" t="s">
        <v>1612</v>
      </c>
      <c r="C438" t="s">
        <v>19</v>
      </c>
      <c r="D438" t="s">
        <v>20</v>
      </c>
      <c r="E438" t="s">
        <v>21</v>
      </c>
      <c r="F438" t="s">
        <v>62</v>
      </c>
      <c r="G438">
        <v>63101</v>
      </c>
      <c r="H438">
        <v>953</v>
      </c>
      <c r="I438">
        <v>81</v>
      </c>
      <c r="J438" s="4">
        <f>MAX(Inventory[[#This Row],[Qty On Hand]]-Inventory[[#This Row],[Qty Allocated]],0)</f>
        <v>872</v>
      </c>
      <c r="K438">
        <v>272</v>
      </c>
      <c r="L438" t="s">
        <v>1644</v>
      </c>
      <c r="M438" t="s">
        <v>1645</v>
      </c>
      <c r="N438" t="s">
        <v>1646</v>
      </c>
      <c r="O438" t="s">
        <v>26</v>
      </c>
      <c r="P438" t="s">
        <v>1647</v>
      </c>
      <c r="Q438" t="s">
        <v>34</v>
      </c>
    </row>
    <row r="439" spans="1:17" x14ac:dyDescent="0.25">
      <c r="A439" t="s">
        <v>1611</v>
      </c>
      <c r="B439" t="s">
        <v>1612</v>
      </c>
      <c r="C439" t="s">
        <v>19</v>
      </c>
      <c r="D439" t="s">
        <v>20</v>
      </c>
      <c r="E439" t="s">
        <v>21</v>
      </c>
      <c r="F439" t="s">
        <v>62</v>
      </c>
      <c r="G439">
        <v>63101</v>
      </c>
      <c r="H439">
        <v>481</v>
      </c>
      <c r="I439">
        <v>38</v>
      </c>
      <c r="J439" s="4">
        <f>MAX(Inventory[[#This Row],[Qty On Hand]]-Inventory[[#This Row],[Qty Allocated]],0)</f>
        <v>443</v>
      </c>
      <c r="K439">
        <v>302</v>
      </c>
      <c r="L439" t="s">
        <v>1648</v>
      </c>
      <c r="M439" t="s">
        <v>1649</v>
      </c>
      <c r="N439" t="s">
        <v>549</v>
      </c>
      <c r="O439" t="s">
        <v>26</v>
      </c>
      <c r="P439" t="s">
        <v>1650</v>
      </c>
      <c r="Q439" t="s">
        <v>40</v>
      </c>
    </row>
    <row r="440" spans="1:17" x14ac:dyDescent="0.25">
      <c r="A440" t="s">
        <v>1611</v>
      </c>
      <c r="B440" t="s">
        <v>1612</v>
      </c>
      <c r="C440" t="s">
        <v>19</v>
      </c>
      <c r="D440" t="s">
        <v>20</v>
      </c>
      <c r="E440" t="s">
        <v>21</v>
      </c>
      <c r="F440" t="s">
        <v>62</v>
      </c>
      <c r="G440">
        <v>63101</v>
      </c>
      <c r="H440">
        <v>789</v>
      </c>
      <c r="I440">
        <v>93</v>
      </c>
      <c r="J440" s="4">
        <f>MAX(Inventory[[#This Row],[Qty On Hand]]-Inventory[[#This Row],[Qty Allocated]],0)</f>
        <v>696</v>
      </c>
      <c r="K440">
        <v>101</v>
      </c>
      <c r="L440" t="s">
        <v>1651</v>
      </c>
      <c r="M440" t="s">
        <v>1652</v>
      </c>
      <c r="N440" t="s">
        <v>103</v>
      </c>
      <c r="O440" t="s">
        <v>26</v>
      </c>
      <c r="P440" t="s">
        <v>1326</v>
      </c>
      <c r="Q440" t="s">
        <v>28</v>
      </c>
    </row>
    <row r="441" spans="1:17" x14ac:dyDescent="0.25">
      <c r="A441" t="s">
        <v>1611</v>
      </c>
      <c r="B441" t="s">
        <v>1612</v>
      </c>
      <c r="C441" t="s">
        <v>19</v>
      </c>
      <c r="D441" t="s">
        <v>20</v>
      </c>
      <c r="E441" t="s">
        <v>21</v>
      </c>
      <c r="F441" t="s">
        <v>62</v>
      </c>
      <c r="G441">
        <v>63101</v>
      </c>
      <c r="H441">
        <v>609</v>
      </c>
      <c r="I441">
        <v>5</v>
      </c>
      <c r="J441" s="4">
        <f>MAX(Inventory[[#This Row],[Qty On Hand]]-Inventory[[#This Row],[Qty Allocated]],0)</f>
        <v>604</v>
      </c>
      <c r="K441">
        <v>222</v>
      </c>
      <c r="L441" t="s">
        <v>1653</v>
      </c>
      <c r="M441" t="s">
        <v>1654</v>
      </c>
      <c r="N441" t="s">
        <v>1655</v>
      </c>
      <c r="O441" t="s">
        <v>26</v>
      </c>
      <c r="P441" t="s">
        <v>1656</v>
      </c>
      <c r="Q441" t="s">
        <v>28</v>
      </c>
    </row>
    <row r="442" spans="1:17" x14ac:dyDescent="0.25">
      <c r="A442" t="s">
        <v>1611</v>
      </c>
      <c r="B442" t="s">
        <v>1612</v>
      </c>
      <c r="C442" t="s">
        <v>19</v>
      </c>
      <c r="D442" t="s">
        <v>20</v>
      </c>
      <c r="E442" t="s">
        <v>21</v>
      </c>
      <c r="F442" t="s">
        <v>83</v>
      </c>
      <c r="G442">
        <v>28202</v>
      </c>
      <c r="H442">
        <v>893</v>
      </c>
      <c r="I442">
        <v>94</v>
      </c>
      <c r="J442" s="4">
        <f>MAX(Inventory[[#This Row],[Qty On Hand]]-Inventory[[#This Row],[Qty Allocated]],0)</f>
        <v>799</v>
      </c>
      <c r="K442">
        <v>220</v>
      </c>
      <c r="L442" t="s">
        <v>1657</v>
      </c>
      <c r="M442" t="s">
        <v>1658</v>
      </c>
      <c r="N442" t="s">
        <v>1659</v>
      </c>
      <c r="O442" t="s">
        <v>48</v>
      </c>
      <c r="P442" t="s">
        <v>1660</v>
      </c>
      <c r="Q442" t="s">
        <v>92</v>
      </c>
    </row>
    <row r="443" spans="1:17" x14ac:dyDescent="0.25">
      <c r="A443" t="s">
        <v>1611</v>
      </c>
      <c r="B443" t="s">
        <v>1612</v>
      </c>
      <c r="C443" t="s">
        <v>19</v>
      </c>
      <c r="D443" t="s">
        <v>20</v>
      </c>
      <c r="E443" t="s">
        <v>21</v>
      </c>
      <c r="F443" t="s">
        <v>83</v>
      </c>
      <c r="G443">
        <v>28202</v>
      </c>
      <c r="H443">
        <v>206</v>
      </c>
      <c r="I443">
        <v>4</v>
      </c>
      <c r="J443" s="4">
        <f>MAX(Inventory[[#This Row],[Qty On Hand]]-Inventory[[#This Row],[Qty Allocated]],0)</f>
        <v>202</v>
      </c>
      <c r="K443">
        <v>283</v>
      </c>
      <c r="L443" t="s">
        <v>1661</v>
      </c>
      <c r="M443" t="s">
        <v>1662</v>
      </c>
      <c r="N443" t="s">
        <v>1663</v>
      </c>
      <c r="O443" t="s">
        <v>26</v>
      </c>
      <c r="P443" t="s">
        <v>1664</v>
      </c>
      <c r="Q443" t="s">
        <v>34</v>
      </c>
    </row>
    <row r="444" spans="1:17" x14ac:dyDescent="0.25">
      <c r="A444" t="s">
        <v>1611</v>
      </c>
      <c r="B444" t="s">
        <v>1612</v>
      </c>
      <c r="C444" t="s">
        <v>19</v>
      </c>
      <c r="D444" t="s">
        <v>20</v>
      </c>
      <c r="E444" t="s">
        <v>21</v>
      </c>
      <c r="F444" t="s">
        <v>83</v>
      </c>
      <c r="G444">
        <v>28202</v>
      </c>
      <c r="H444">
        <v>374</v>
      </c>
      <c r="I444">
        <v>29</v>
      </c>
      <c r="J444" s="4">
        <f>MAX(Inventory[[#This Row],[Qty On Hand]]-Inventory[[#This Row],[Qty Allocated]],0)</f>
        <v>345</v>
      </c>
      <c r="K444">
        <v>355</v>
      </c>
      <c r="L444" t="s">
        <v>1665</v>
      </c>
      <c r="M444" t="s">
        <v>1666</v>
      </c>
      <c r="N444" t="s">
        <v>782</v>
      </c>
      <c r="O444" t="s">
        <v>48</v>
      </c>
      <c r="P444" t="s">
        <v>929</v>
      </c>
      <c r="Q444" t="s">
        <v>34</v>
      </c>
    </row>
    <row r="445" spans="1:17" x14ac:dyDescent="0.25">
      <c r="A445" t="s">
        <v>1611</v>
      </c>
      <c r="B445" t="s">
        <v>1612</v>
      </c>
      <c r="C445" t="s">
        <v>19</v>
      </c>
      <c r="D445" t="s">
        <v>20</v>
      </c>
      <c r="E445" t="s">
        <v>21</v>
      </c>
      <c r="F445" t="s">
        <v>83</v>
      </c>
      <c r="G445">
        <v>28202</v>
      </c>
      <c r="H445">
        <v>485</v>
      </c>
      <c r="I445">
        <v>78</v>
      </c>
      <c r="J445" s="4">
        <f>MAX(Inventory[[#This Row],[Qty On Hand]]-Inventory[[#This Row],[Qty Allocated]],0)</f>
        <v>407</v>
      </c>
      <c r="K445">
        <v>378</v>
      </c>
      <c r="L445" t="s">
        <v>1667</v>
      </c>
      <c r="M445" t="s">
        <v>1668</v>
      </c>
      <c r="N445" t="s">
        <v>1669</v>
      </c>
      <c r="O445" t="s">
        <v>26</v>
      </c>
      <c r="P445" t="s">
        <v>1670</v>
      </c>
      <c r="Q445" t="s">
        <v>92</v>
      </c>
    </row>
    <row r="446" spans="1:17" x14ac:dyDescent="0.25">
      <c r="A446" t="s">
        <v>1671</v>
      </c>
      <c r="B446" t="s">
        <v>1612</v>
      </c>
      <c r="C446" t="s">
        <v>19</v>
      </c>
      <c r="D446" t="s">
        <v>20</v>
      </c>
      <c r="E446" t="s">
        <v>122</v>
      </c>
      <c r="F446" t="s">
        <v>35</v>
      </c>
      <c r="G446">
        <v>75201</v>
      </c>
      <c r="H446">
        <v>583</v>
      </c>
      <c r="I446">
        <v>59</v>
      </c>
      <c r="J446" s="4">
        <f>MAX(Inventory[[#This Row],[Qty On Hand]]-Inventory[[#This Row],[Qty Allocated]],0)</f>
        <v>524</v>
      </c>
      <c r="K446">
        <v>246</v>
      </c>
      <c r="L446" t="s">
        <v>1672</v>
      </c>
      <c r="M446" t="s">
        <v>1673</v>
      </c>
      <c r="N446" t="s">
        <v>1636</v>
      </c>
      <c r="O446" t="s">
        <v>26</v>
      </c>
      <c r="P446" t="s">
        <v>1495</v>
      </c>
      <c r="Q446" t="s">
        <v>92</v>
      </c>
    </row>
    <row r="447" spans="1:17" x14ac:dyDescent="0.25">
      <c r="A447" t="s">
        <v>1671</v>
      </c>
      <c r="B447" t="s">
        <v>1612</v>
      </c>
      <c r="C447" t="s">
        <v>19</v>
      </c>
      <c r="D447" t="s">
        <v>20</v>
      </c>
      <c r="E447" t="s">
        <v>122</v>
      </c>
      <c r="F447" t="s">
        <v>35</v>
      </c>
      <c r="G447">
        <v>75201</v>
      </c>
      <c r="H447">
        <v>271</v>
      </c>
      <c r="I447">
        <v>58</v>
      </c>
      <c r="J447" s="4">
        <f>MAX(Inventory[[#This Row],[Qty On Hand]]-Inventory[[#This Row],[Qty Allocated]],0)</f>
        <v>213</v>
      </c>
      <c r="K447">
        <v>284</v>
      </c>
      <c r="L447" t="s">
        <v>1674</v>
      </c>
      <c r="M447" t="s">
        <v>1675</v>
      </c>
      <c r="N447" t="s">
        <v>1676</v>
      </c>
      <c r="O447" t="s">
        <v>26</v>
      </c>
      <c r="P447" t="s">
        <v>1677</v>
      </c>
      <c r="Q447" t="s">
        <v>92</v>
      </c>
    </row>
    <row r="448" spans="1:17" x14ac:dyDescent="0.25">
      <c r="A448" t="s">
        <v>1671</v>
      </c>
      <c r="B448" t="s">
        <v>1612</v>
      </c>
      <c r="C448" t="s">
        <v>19</v>
      </c>
      <c r="D448" t="s">
        <v>20</v>
      </c>
      <c r="E448" t="s">
        <v>122</v>
      </c>
      <c r="F448" t="s">
        <v>35</v>
      </c>
      <c r="G448">
        <v>75201</v>
      </c>
      <c r="H448">
        <v>322</v>
      </c>
      <c r="I448">
        <v>78</v>
      </c>
      <c r="J448" s="4">
        <f>MAX(Inventory[[#This Row],[Qty On Hand]]-Inventory[[#This Row],[Qty Allocated]],0)</f>
        <v>244</v>
      </c>
      <c r="K448">
        <v>177</v>
      </c>
      <c r="L448" t="s">
        <v>1678</v>
      </c>
      <c r="M448" t="s">
        <v>1679</v>
      </c>
      <c r="N448" t="s">
        <v>1680</v>
      </c>
      <c r="O448" t="s">
        <v>26</v>
      </c>
      <c r="P448" t="s">
        <v>1681</v>
      </c>
      <c r="Q448" t="s">
        <v>40</v>
      </c>
    </row>
    <row r="449" spans="1:17" x14ac:dyDescent="0.25">
      <c r="A449" t="s">
        <v>1671</v>
      </c>
      <c r="B449" t="s">
        <v>1612</v>
      </c>
      <c r="C449" t="s">
        <v>19</v>
      </c>
      <c r="D449" t="s">
        <v>20</v>
      </c>
      <c r="E449" t="s">
        <v>122</v>
      </c>
      <c r="F449" t="s">
        <v>35</v>
      </c>
      <c r="G449">
        <v>75201</v>
      </c>
      <c r="H449">
        <v>575</v>
      </c>
      <c r="I449">
        <v>91</v>
      </c>
      <c r="J449" s="4">
        <f>MAX(Inventory[[#This Row],[Qty On Hand]]-Inventory[[#This Row],[Qty Allocated]],0)</f>
        <v>484</v>
      </c>
      <c r="K449">
        <v>311</v>
      </c>
      <c r="L449" t="s">
        <v>1682</v>
      </c>
      <c r="M449" t="s">
        <v>1683</v>
      </c>
      <c r="N449" t="s">
        <v>153</v>
      </c>
      <c r="O449" t="s">
        <v>26</v>
      </c>
      <c r="P449" t="s">
        <v>1684</v>
      </c>
      <c r="Q449" t="s">
        <v>34</v>
      </c>
    </row>
    <row r="450" spans="1:17" x14ac:dyDescent="0.25">
      <c r="A450" t="s">
        <v>1671</v>
      </c>
      <c r="B450" t="s">
        <v>1612</v>
      </c>
      <c r="C450" t="s">
        <v>19</v>
      </c>
      <c r="D450" t="s">
        <v>20</v>
      </c>
      <c r="E450" t="s">
        <v>122</v>
      </c>
      <c r="F450" t="s">
        <v>62</v>
      </c>
      <c r="G450">
        <v>63101</v>
      </c>
      <c r="H450">
        <v>872</v>
      </c>
      <c r="I450">
        <v>48</v>
      </c>
      <c r="J450" s="4">
        <f>MAX(Inventory[[#This Row],[Qty On Hand]]-Inventory[[#This Row],[Qty Allocated]],0)</f>
        <v>824</v>
      </c>
      <c r="K450">
        <v>360</v>
      </c>
      <c r="L450" t="s">
        <v>1685</v>
      </c>
      <c r="M450" t="s">
        <v>1686</v>
      </c>
      <c r="N450" t="s">
        <v>1587</v>
      </c>
      <c r="O450" t="s">
        <v>26</v>
      </c>
      <c r="P450" t="s">
        <v>1484</v>
      </c>
      <c r="Q450" t="s">
        <v>40</v>
      </c>
    </row>
    <row r="451" spans="1:17" x14ac:dyDescent="0.25">
      <c r="A451" t="s">
        <v>1671</v>
      </c>
      <c r="B451" t="s">
        <v>1612</v>
      </c>
      <c r="C451" t="s">
        <v>19</v>
      </c>
      <c r="D451" t="s">
        <v>20</v>
      </c>
      <c r="E451" t="s">
        <v>122</v>
      </c>
      <c r="F451" t="s">
        <v>62</v>
      </c>
      <c r="G451">
        <v>63101</v>
      </c>
      <c r="H451">
        <v>976</v>
      </c>
      <c r="I451">
        <v>64</v>
      </c>
      <c r="J451" s="4">
        <f>MAX(Inventory[[#This Row],[Qty On Hand]]-Inventory[[#This Row],[Qty Allocated]],0)</f>
        <v>912</v>
      </c>
      <c r="K451">
        <v>239</v>
      </c>
      <c r="L451" t="s">
        <v>1687</v>
      </c>
      <c r="M451" t="s">
        <v>1688</v>
      </c>
      <c r="N451" t="s">
        <v>1676</v>
      </c>
      <c r="O451" t="s">
        <v>48</v>
      </c>
      <c r="P451" t="s">
        <v>1689</v>
      </c>
      <c r="Q451" t="s">
        <v>28</v>
      </c>
    </row>
    <row r="452" spans="1:17" x14ac:dyDescent="0.25">
      <c r="A452" t="s">
        <v>1671</v>
      </c>
      <c r="B452" t="s">
        <v>1612</v>
      </c>
      <c r="C452" t="s">
        <v>19</v>
      </c>
      <c r="D452" t="s">
        <v>20</v>
      </c>
      <c r="E452" t="s">
        <v>122</v>
      </c>
      <c r="F452" t="s">
        <v>62</v>
      </c>
      <c r="G452">
        <v>63101</v>
      </c>
      <c r="H452">
        <v>616</v>
      </c>
      <c r="I452">
        <v>91</v>
      </c>
      <c r="J452" s="4">
        <f>MAX(Inventory[[#This Row],[Qty On Hand]]-Inventory[[#This Row],[Qty Allocated]],0)</f>
        <v>525</v>
      </c>
      <c r="K452">
        <v>192</v>
      </c>
      <c r="L452" t="s">
        <v>1511</v>
      </c>
      <c r="M452" t="s">
        <v>1690</v>
      </c>
      <c r="N452" t="s">
        <v>1691</v>
      </c>
      <c r="O452" t="s">
        <v>26</v>
      </c>
      <c r="P452" t="s">
        <v>1692</v>
      </c>
      <c r="Q452" t="s">
        <v>28</v>
      </c>
    </row>
    <row r="453" spans="1:17" x14ac:dyDescent="0.25">
      <c r="A453" t="s">
        <v>1671</v>
      </c>
      <c r="B453" t="s">
        <v>1612</v>
      </c>
      <c r="C453" t="s">
        <v>19</v>
      </c>
      <c r="D453" t="s">
        <v>20</v>
      </c>
      <c r="E453" t="s">
        <v>122</v>
      </c>
      <c r="F453" t="s">
        <v>62</v>
      </c>
      <c r="G453">
        <v>63101</v>
      </c>
      <c r="H453">
        <v>438</v>
      </c>
      <c r="I453">
        <v>84</v>
      </c>
      <c r="J453" s="4">
        <f>MAX(Inventory[[#This Row],[Qty On Hand]]-Inventory[[#This Row],[Qty Allocated]],0)</f>
        <v>354</v>
      </c>
      <c r="K453">
        <v>252</v>
      </c>
      <c r="L453" t="s">
        <v>1693</v>
      </c>
      <c r="M453" t="s">
        <v>1694</v>
      </c>
      <c r="N453" t="s">
        <v>1695</v>
      </c>
      <c r="O453" t="s">
        <v>26</v>
      </c>
      <c r="P453" t="s">
        <v>972</v>
      </c>
      <c r="Q453" t="s">
        <v>92</v>
      </c>
    </row>
    <row r="454" spans="1:17" x14ac:dyDescent="0.25">
      <c r="A454" t="s">
        <v>1671</v>
      </c>
      <c r="B454" t="s">
        <v>1612</v>
      </c>
      <c r="C454" t="s">
        <v>19</v>
      </c>
      <c r="D454" t="s">
        <v>20</v>
      </c>
      <c r="E454" t="s">
        <v>122</v>
      </c>
      <c r="F454" t="s">
        <v>62</v>
      </c>
      <c r="G454">
        <v>63101</v>
      </c>
      <c r="H454">
        <v>788</v>
      </c>
      <c r="I454">
        <v>55</v>
      </c>
      <c r="J454" s="4">
        <f>MAX(Inventory[[#This Row],[Qty On Hand]]-Inventory[[#This Row],[Qty Allocated]],0)</f>
        <v>733</v>
      </c>
      <c r="K454">
        <v>203</v>
      </c>
      <c r="L454" t="s">
        <v>1696</v>
      </c>
      <c r="M454" t="s">
        <v>1697</v>
      </c>
      <c r="N454" t="s">
        <v>1698</v>
      </c>
      <c r="O454" t="s">
        <v>26</v>
      </c>
      <c r="P454" t="s">
        <v>850</v>
      </c>
      <c r="Q454" t="s">
        <v>40</v>
      </c>
    </row>
    <row r="455" spans="1:17" x14ac:dyDescent="0.25">
      <c r="A455" t="s">
        <v>1671</v>
      </c>
      <c r="B455" t="s">
        <v>1612</v>
      </c>
      <c r="C455" t="s">
        <v>19</v>
      </c>
      <c r="D455" t="s">
        <v>20</v>
      </c>
      <c r="E455" t="s">
        <v>122</v>
      </c>
      <c r="F455" t="s">
        <v>62</v>
      </c>
      <c r="G455">
        <v>63101</v>
      </c>
      <c r="H455">
        <v>278</v>
      </c>
      <c r="I455">
        <v>75</v>
      </c>
      <c r="J455" s="4">
        <f>MAX(Inventory[[#This Row],[Qty On Hand]]-Inventory[[#This Row],[Qty Allocated]],0)</f>
        <v>203</v>
      </c>
      <c r="K455">
        <v>155</v>
      </c>
      <c r="L455" t="s">
        <v>1699</v>
      </c>
      <c r="M455" t="s">
        <v>1700</v>
      </c>
      <c r="N455" t="s">
        <v>25</v>
      </c>
      <c r="O455" t="s">
        <v>48</v>
      </c>
      <c r="P455" t="s">
        <v>1701</v>
      </c>
      <c r="Q455" t="s">
        <v>92</v>
      </c>
    </row>
    <row r="456" spans="1:17" x14ac:dyDescent="0.25">
      <c r="A456" t="s">
        <v>1671</v>
      </c>
      <c r="B456" t="s">
        <v>1612</v>
      </c>
      <c r="C456" t="s">
        <v>19</v>
      </c>
      <c r="D456" t="s">
        <v>20</v>
      </c>
      <c r="E456" t="s">
        <v>122</v>
      </c>
      <c r="F456" t="s">
        <v>83</v>
      </c>
      <c r="G456">
        <v>28202</v>
      </c>
      <c r="H456">
        <v>881</v>
      </c>
      <c r="I456">
        <v>52</v>
      </c>
      <c r="J456" s="4">
        <f>MAX(Inventory[[#This Row],[Qty On Hand]]-Inventory[[#This Row],[Qty Allocated]],0)</f>
        <v>829</v>
      </c>
      <c r="K456">
        <v>235</v>
      </c>
      <c r="L456" t="s">
        <v>877</v>
      </c>
      <c r="M456" t="s">
        <v>1702</v>
      </c>
      <c r="N456" t="s">
        <v>1703</v>
      </c>
      <c r="O456" t="s">
        <v>26</v>
      </c>
      <c r="P456" t="s">
        <v>126</v>
      </c>
      <c r="Q456" t="s">
        <v>34</v>
      </c>
    </row>
    <row r="457" spans="1:17" x14ac:dyDescent="0.25">
      <c r="A457" t="s">
        <v>1671</v>
      </c>
      <c r="B457" t="s">
        <v>1612</v>
      </c>
      <c r="C457" t="s">
        <v>19</v>
      </c>
      <c r="D457" t="s">
        <v>20</v>
      </c>
      <c r="E457" t="s">
        <v>122</v>
      </c>
      <c r="F457" t="s">
        <v>83</v>
      </c>
      <c r="G457">
        <v>28202</v>
      </c>
      <c r="H457">
        <v>957</v>
      </c>
      <c r="I457">
        <v>64</v>
      </c>
      <c r="J457" s="4">
        <f>MAX(Inventory[[#This Row],[Qty On Hand]]-Inventory[[#This Row],[Qty Allocated]],0)</f>
        <v>893</v>
      </c>
      <c r="K457">
        <v>319</v>
      </c>
      <c r="L457" t="s">
        <v>1704</v>
      </c>
      <c r="M457" t="s">
        <v>1705</v>
      </c>
      <c r="N457" t="s">
        <v>1706</v>
      </c>
      <c r="O457" t="s">
        <v>26</v>
      </c>
      <c r="P457" t="s">
        <v>253</v>
      </c>
      <c r="Q457" t="s">
        <v>40</v>
      </c>
    </row>
    <row r="458" spans="1:17" x14ac:dyDescent="0.25">
      <c r="A458" t="s">
        <v>1671</v>
      </c>
      <c r="B458" t="s">
        <v>1612</v>
      </c>
      <c r="C458" t="s">
        <v>19</v>
      </c>
      <c r="D458" t="s">
        <v>20</v>
      </c>
      <c r="E458" t="s">
        <v>122</v>
      </c>
      <c r="F458" t="s">
        <v>83</v>
      </c>
      <c r="G458">
        <v>28202</v>
      </c>
      <c r="H458">
        <v>325</v>
      </c>
      <c r="I458">
        <v>61</v>
      </c>
      <c r="J458" s="4">
        <f>MAX(Inventory[[#This Row],[Qty On Hand]]-Inventory[[#This Row],[Qty Allocated]],0)</f>
        <v>264</v>
      </c>
      <c r="K458">
        <v>316</v>
      </c>
      <c r="L458" t="s">
        <v>1707</v>
      </c>
      <c r="M458" t="s">
        <v>1708</v>
      </c>
      <c r="N458" t="s">
        <v>1709</v>
      </c>
      <c r="O458" t="s">
        <v>26</v>
      </c>
      <c r="P458" t="s">
        <v>1628</v>
      </c>
      <c r="Q458" t="s">
        <v>28</v>
      </c>
    </row>
    <row r="459" spans="1:17" x14ac:dyDescent="0.25">
      <c r="A459" t="s">
        <v>1710</v>
      </c>
      <c r="B459" t="s">
        <v>1612</v>
      </c>
      <c r="C459" t="s">
        <v>19</v>
      </c>
      <c r="D459" t="s">
        <v>20</v>
      </c>
      <c r="E459" t="s">
        <v>171</v>
      </c>
      <c r="F459" t="s">
        <v>22</v>
      </c>
      <c r="G459">
        <v>94102</v>
      </c>
      <c r="H459">
        <v>4</v>
      </c>
      <c r="I459">
        <v>4</v>
      </c>
      <c r="J459" s="4">
        <f>MAX(Inventory[[#This Row],[Qty On Hand]]-Inventory[[#This Row],[Qty Allocated]],0)</f>
        <v>0</v>
      </c>
      <c r="K459">
        <v>507</v>
      </c>
      <c r="L459" t="s">
        <v>1711</v>
      </c>
      <c r="M459" t="s">
        <v>1712</v>
      </c>
      <c r="N459" t="s">
        <v>373</v>
      </c>
      <c r="O459" t="s">
        <v>26</v>
      </c>
      <c r="P459" t="s">
        <v>1713</v>
      </c>
      <c r="Q459" t="s">
        <v>40</v>
      </c>
    </row>
    <row r="460" spans="1:17" x14ac:dyDescent="0.25">
      <c r="A460" t="s">
        <v>1710</v>
      </c>
      <c r="B460" t="s">
        <v>1612</v>
      </c>
      <c r="C460" t="s">
        <v>19</v>
      </c>
      <c r="D460" t="s">
        <v>20</v>
      </c>
      <c r="E460" t="s">
        <v>171</v>
      </c>
      <c r="F460" t="s">
        <v>29</v>
      </c>
      <c r="G460">
        <v>98072</v>
      </c>
      <c r="H460">
        <v>2388</v>
      </c>
      <c r="I460">
        <v>68</v>
      </c>
      <c r="J460" s="4">
        <f>MAX(Inventory[[#This Row],[Qty On Hand]]-Inventory[[#This Row],[Qty Allocated]],0)</f>
        <v>2320</v>
      </c>
      <c r="K460">
        <v>571</v>
      </c>
      <c r="L460" t="s">
        <v>1714</v>
      </c>
      <c r="M460" t="s">
        <v>1715</v>
      </c>
      <c r="N460" t="s">
        <v>1716</v>
      </c>
      <c r="O460" t="s">
        <v>26</v>
      </c>
      <c r="P460" t="s">
        <v>1717</v>
      </c>
      <c r="Q460" t="s">
        <v>28</v>
      </c>
    </row>
    <row r="461" spans="1:17" x14ac:dyDescent="0.25">
      <c r="A461" t="s">
        <v>1710</v>
      </c>
      <c r="B461" t="s">
        <v>1612</v>
      </c>
      <c r="C461" t="s">
        <v>19</v>
      </c>
      <c r="D461" t="s">
        <v>20</v>
      </c>
      <c r="E461" t="s">
        <v>171</v>
      </c>
      <c r="F461" t="s">
        <v>35</v>
      </c>
      <c r="G461">
        <v>75201</v>
      </c>
      <c r="H461">
        <v>514</v>
      </c>
      <c r="I461">
        <v>70</v>
      </c>
      <c r="J461" s="4">
        <f>MAX(Inventory[[#This Row],[Qty On Hand]]-Inventory[[#This Row],[Qty Allocated]],0)</f>
        <v>444</v>
      </c>
      <c r="K461">
        <v>109</v>
      </c>
      <c r="L461" t="s">
        <v>1718</v>
      </c>
      <c r="M461" t="s">
        <v>1719</v>
      </c>
      <c r="N461" t="s">
        <v>1720</v>
      </c>
      <c r="O461" t="s">
        <v>48</v>
      </c>
      <c r="P461" t="s">
        <v>1721</v>
      </c>
      <c r="Q461" t="s">
        <v>34</v>
      </c>
    </row>
    <row r="462" spans="1:17" x14ac:dyDescent="0.25">
      <c r="A462" t="s">
        <v>1710</v>
      </c>
      <c r="B462" t="s">
        <v>1612</v>
      </c>
      <c r="C462" t="s">
        <v>19</v>
      </c>
      <c r="D462" t="s">
        <v>20</v>
      </c>
      <c r="E462" t="s">
        <v>171</v>
      </c>
      <c r="F462" t="s">
        <v>35</v>
      </c>
      <c r="G462">
        <v>75201</v>
      </c>
      <c r="H462">
        <v>711</v>
      </c>
      <c r="I462">
        <v>32</v>
      </c>
      <c r="J462" s="4">
        <f>MAX(Inventory[[#This Row],[Qty On Hand]]-Inventory[[#This Row],[Qty Allocated]],0)</f>
        <v>679</v>
      </c>
      <c r="K462">
        <v>104</v>
      </c>
      <c r="L462" t="s">
        <v>1722</v>
      </c>
      <c r="M462" t="s">
        <v>1723</v>
      </c>
      <c r="N462" t="s">
        <v>518</v>
      </c>
      <c r="O462" t="s">
        <v>26</v>
      </c>
      <c r="P462" t="s">
        <v>157</v>
      </c>
      <c r="Q462" t="s">
        <v>92</v>
      </c>
    </row>
    <row r="463" spans="1:17" x14ac:dyDescent="0.25">
      <c r="A463" t="s">
        <v>1710</v>
      </c>
      <c r="B463" t="s">
        <v>1612</v>
      </c>
      <c r="C463" t="s">
        <v>19</v>
      </c>
      <c r="D463" t="s">
        <v>20</v>
      </c>
      <c r="E463" t="s">
        <v>171</v>
      </c>
      <c r="F463" t="s">
        <v>35</v>
      </c>
      <c r="G463">
        <v>75201</v>
      </c>
      <c r="H463">
        <v>381</v>
      </c>
      <c r="I463">
        <v>21</v>
      </c>
      <c r="J463" s="4">
        <f>MAX(Inventory[[#This Row],[Qty On Hand]]-Inventory[[#This Row],[Qty Allocated]],0)</f>
        <v>360</v>
      </c>
      <c r="K463">
        <v>101</v>
      </c>
      <c r="L463" t="s">
        <v>1724</v>
      </c>
      <c r="M463" t="s">
        <v>1725</v>
      </c>
      <c r="N463" t="s">
        <v>1726</v>
      </c>
      <c r="O463" t="s">
        <v>48</v>
      </c>
      <c r="P463" t="s">
        <v>1727</v>
      </c>
      <c r="Q463" t="s">
        <v>92</v>
      </c>
    </row>
    <row r="464" spans="1:17" x14ac:dyDescent="0.25">
      <c r="A464" t="s">
        <v>1710</v>
      </c>
      <c r="B464" t="s">
        <v>1612</v>
      </c>
      <c r="C464" t="s">
        <v>19</v>
      </c>
      <c r="D464" t="s">
        <v>20</v>
      </c>
      <c r="E464" t="s">
        <v>171</v>
      </c>
      <c r="F464" t="s">
        <v>35</v>
      </c>
      <c r="G464">
        <v>75201</v>
      </c>
      <c r="H464">
        <v>624</v>
      </c>
      <c r="I464">
        <v>85</v>
      </c>
      <c r="J464" s="4">
        <f>MAX(Inventory[[#This Row],[Qty On Hand]]-Inventory[[#This Row],[Qty Allocated]],0)</f>
        <v>539</v>
      </c>
      <c r="K464">
        <v>217</v>
      </c>
      <c r="L464" t="s">
        <v>1728</v>
      </c>
      <c r="M464" t="s">
        <v>1729</v>
      </c>
      <c r="N464" t="s">
        <v>1730</v>
      </c>
      <c r="O464" t="s">
        <v>26</v>
      </c>
      <c r="P464" t="s">
        <v>1731</v>
      </c>
      <c r="Q464" t="s">
        <v>40</v>
      </c>
    </row>
    <row r="465" spans="1:17" x14ac:dyDescent="0.25">
      <c r="A465" t="s">
        <v>1710</v>
      </c>
      <c r="B465" t="s">
        <v>1612</v>
      </c>
      <c r="C465" t="s">
        <v>19</v>
      </c>
      <c r="D465" t="s">
        <v>20</v>
      </c>
      <c r="E465" t="s">
        <v>171</v>
      </c>
      <c r="F465" t="s">
        <v>62</v>
      </c>
      <c r="G465">
        <v>63101</v>
      </c>
      <c r="H465">
        <v>921</v>
      </c>
      <c r="I465">
        <v>2</v>
      </c>
      <c r="J465" s="4">
        <f>MAX(Inventory[[#This Row],[Qty On Hand]]-Inventory[[#This Row],[Qty Allocated]],0)</f>
        <v>919</v>
      </c>
      <c r="K465">
        <v>397</v>
      </c>
      <c r="L465" t="s">
        <v>1732</v>
      </c>
      <c r="M465" t="s">
        <v>1733</v>
      </c>
      <c r="N465" t="s">
        <v>1734</v>
      </c>
      <c r="O465" t="s">
        <v>26</v>
      </c>
      <c r="P465" t="s">
        <v>1735</v>
      </c>
      <c r="Q465" t="s">
        <v>28</v>
      </c>
    </row>
    <row r="466" spans="1:17" x14ac:dyDescent="0.25">
      <c r="A466" t="s">
        <v>1710</v>
      </c>
      <c r="B466" t="s">
        <v>1612</v>
      </c>
      <c r="C466" t="s">
        <v>19</v>
      </c>
      <c r="D466" t="s">
        <v>20</v>
      </c>
      <c r="E466" t="s">
        <v>171</v>
      </c>
      <c r="F466" t="s">
        <v>62</v>
      </c>
      <c r="G466">
        <v>63101</v>
      </c>
      <c r="H466">
        <v>811</v>
      </c>
      <c r="I466">
        <v>52</v>
      </c>
      <c r="J466" s="4">
        <f>MAX(Inventory[[#This Row],[Qty On Hand]]-Inventory[[#This Row],[Qty Allocated]],0)</f>
        <v>759</v>
      </c>
      <c r="K466">
        <v>125</v>
      </c>
      <c r="L466" t="s">
        <v>1736</v>
      </c>
      <c r="M466" t="s">
        <v>1737</v>
      </c>
      <c r="N466" t="s">
        <v>1738</v>
      </c>
      <c r="O466" t="s">
        <v>26</v>
      </c>
      <c r="P466" t="s">
        <v>1739</v>
      </c>
      <c r="Q466" t="s">
        <v>34</v>
      </c>
    </row>
    <row r="467" spans="1:17" x14ac:dyDescent="0.25">
      <c r="A467" t="s">
        <v>1710</v>
      </c>
      <c r="B467" t="s">
        <v>1612</v>
      </c>
      <c r="C467" t="s">
        <v>19</v>
      </c>
      <c r="D467" t="s">
        <v>20</v>
      </c>
      <c r="E467" t="s">
        <v>171</v>
      </c>
      <c r="F467" t="s">
        <v>62</v>
      </c>
      <c r="G467">
        <v>63101</v>
      </c>
      <c r="H467">
        <v>452</v>
      </c>
      <c r="I467">
        <v>18</v>
      </c>
      <c r="J467" s="4">
        <f>MAX(Inventory[[#This Row],[Qty On Hand]]-Inventory[[#This Row],[Qty Allocated]],0)</f>
        <v>434</v>
      </c>
      <c r="K467">
        <v>143</v>
      </c>
      <c r="L467" t="s">
        <v>1740</v>
      </c>
      <c r="M467" t="s">
        <v>1741</v>
      </c>
      <c r="N467" t="s">
        <v>1742</v>
      </c>
      <c r="O467" t="s">
        <v>26</v>
      </c>
      <c r="P467" t="s">
        <v>1743</v>
      </c>
      <c r="Q467" t="s">
        <v>34</v>
      </c>
    </row>
    <row r="468" spans="1:17" x14ac:dyDescent="0.25">
      <c r="A468" t="s">
        <v>1710</v>
      </c>
      <c r="B468" t="s">
        <v>1612</v>
      </c>
      <c r="C468" t="s">
        <v>19</v>
      </c>
      <c r="D468" t="s">
        <v>20</v>
      </c>
      <c r="E468" t="s">
        <v>171</v>
      </c>
      <c r="F468" t="s">
        <v>62</v>
      </c>
      <c r="G468">
        <v>63101</v>
      </c>
      <c r="H468">
        <v>918</v>
      </c>
      <c r="I468">
        <v>30</v>
      </c>
      <c r="J468" s="4">
        <f>MAX(Inventory[[#This Row],[Qty On Hand]]-Inventory[[#This Row],[Qty Allocated]],0)</f>
        <v>888</v>
      </c>
      <c r="K468">
        <v>149</v>
      </c>
      <c r="L468" t="s">
        <v>1744</v>
      </c>
      <c r="M468" t="s">
        <v>1745</v>
      </c>
      <c r="N468" t="s">
        <v>1568</v>
      </c>
      <c r="O468" t="s">
        <v>26</v>
      </c>
      <c r="P468" t="s">
        <v>1746</v>
      </c>
      <c r="Q468" t="s">
        <v>92</v>
      </c>
    </row>
    <row r="469" spans="1:17" x14ac:dyDescent="0.25">
      <c r="A469" t="s">
        <v>1710</v>
      </c>
      <c r="B469" t="s">
        <v>1612</v>
      </c>
      <c r="C469" t="s">
        <v>19</v>
      </c>
      <c r="D469" t="s">
        <v>20</v>
      </c>
      <c r="E469" t="s">
        <v>171</v>
      </c>
      <c r="F469" t="s">
        <v>62</v>
      </c>
      <c r="G469">
        <v>63101</v>
      </c>
      <c r="H469">
        <v>243</v>
      </c>
      <c r="I469">
        <v>28</v>
      </c>
      <c r="J469" s="4">
        <f>MAX(Inventory[[#This Row],[Qty On Hand]]-Inventory[[#This Row],[Qty Allocated]],0)</f>
        <v>215</v>
      </c>
      <c r="K469">
        <v>231</v>
      </c>
      <c r="L469" t="s">
        <v>1747</v>
      </c>
      <c r="M469" t="s">
        <v>1748</v>
      </c>
      <c r="N469" t="s">
        <v>1749</v>
      </c>
      <c r="O469" t="s">
        <v>26</v>
      </c>
      <c r="P469" t="s">
        <v>215</v>
      </c>
      <c r="Q469" t="s">
        <v>40</v>
      </c>
    </row>
    <row r="470" spans="1:17" x14ac:dyDescent="0.25">
      <c r="A470" t="s">
        <v>1710</v>
      </c>
      <c r="B470" t="s">
        <v>1612</v>
      </c>
      <c r="C470" t="s">
        <v>19</v>
      </c>
      <c r="D470" t="s">
        <v>20</v>
      </c>
      <c r="E470" t="s">
        <v>171</v>
      </c>
      <c r="F470" t="s">
        <v>62</v>
      </c>
      <c r="G470">
        <v>63101</v>
      </c>
      <c r="H470">
        <v>906</v>
      </c>
      <c r="I470">
        <v>47</v>
      </c>
      <c r="J470" s="4">
        <f>MAX(Inventory[[#This Row],[Qty On Hand]]-Inventory[[#This Row],[Qty Allocated]],0)</f>
        <v>859</v>
      </c>
      <c r="K470">
        <v>342</v>
      </c>
      <c r="L470" t="s">
        <v>523</v>
      </c>
      <c r="M470" t="s">
        <v>1750</v>
      </c>
      <c r="N470" t="s">
        <v>1751</v>
      </c>
      <c r="O470" t="s">
        <v>26</v>
      </c>
      <c r="P470" t="s">
        <v>336</v>
      </c>
      <c r="Q470" t="s">
        <v>28</v>
      </c>
    </row>
    <row r="471" spans="1:17" x14ac:dyDescent="0.25">
      <c r="A471" t="s">
        <v>1710</v>
      </c>
      <c r="B471" t="s">
        <v>1612</v>
      </c>
      <c r="C471" t="s">
        <v>19</v>
      </c>
      <c r="D471" t="s">
        <v>20</v>
      </c>
      <c r="E471" t="s">
        <v>171</v>
      </c>
      <c r="F471" t="s">
        <v>83</v>
      </c>
      <c r="G471">
        <v>28202</v>
      </c>
      <c r="H471">
        <v>539</v>
      </c>
      <c r="I471">
        <v>19</v>
      </c>
      <c r="J471" s="4">
        <f>MAX(Inventory[[#This Row],[Qty On Hand]]-Inventory[[#This Row],[Qty Allocated]],0)</f>
        <v>520</v>
      </c>
      <c r="K471">
        <v>204</v>
      </c>
      <c r="L471" t="s">
        <v>1752</v>
      </c>
      <c r="M471" t="s">
        <v>1753</v>
      </c>
      <c r="N471" t="s">
        <v>1754</v>
      </c>
      <c r="O471" t="s">
        <v>26</v>
      </c>
      <c r="P471" t="s">
        <v>1735</v>
      </c>
      <c r="Q471" t="s">
        <v>28</v>
      </c>
    </row>
    <row r="472" spans="1:17" x14ac:dyDescent="0.25">
      <c r="A472" t="s">
        <v>1710</v>
      </c>
      <c r="B472" t="s">
        <v>1612</v>
      </c>
      <c r="C472" t="s">
        <v>19</v>
      </c>
      <c r="D472" t="s">
        <v>20</v>
      </c>
      <c r="E472" t="s">
        <v>171</v>
      </c>
      <c r="F472" t="s">
        <v>83</v>
      </c>
      <c r="G472">
        <v>28202</v>
      </c>
      <c r="H472">
        <v>376</v>
      </c>
      <c r="I472">
        <v>71</v>
      </c>
      <c r="J472" s="4">
        <f>MAX(Inventory[[#This Row],[Qty On Hand]]-Inventory[[#This Row],[Qty Allocated]],0)</f>
        <v>305</v>
      </c>
      <c r="K472">
        <v>374</v>
      </c>
      <c r="L472" t="s">
        <v>1755</v>
      </c>
      <c r="M472" t="s">
        <v>1756</v>
      </c>
      <c r="N472" t="s">
        <v>1757</v>
      </c>
      <c r="O472" t="s">
        <v>26</v>
      </c>
      <c r="P472" t="s">
        <v>1758</v>
      </c>
      <c r="Q472" t="s">
        <v>34</v>
      </c>
    </row>
    <row r="473" spans="1:17" x14ac:dyDescent="0.25">
      <c r="A473" t="s">
        <v>1710</v>
      </c>
      <c r="B473" t="s">
        <v>1612</v>
      </c>
      <c r="C473" t="s">
        <v>19</v>
      </c>
      <c r="D473" t="s">
        <v>20</v>
      </c>
      <c r="E473" t="s">
        <v>171</v>
      </c>
      <c r="F473" t="s">
        <v>83</v>
      </c>
      <c r="G473">
        <v>28202</v>
      </c>
      <c r="H473">
        <v>493</v>
      </c>
      <c r="I473">
        <v>2</v>
      </c>
      <c r="J473" s="4">
        <f>MAX(Inventory[[#This Row],[Qty On Hand]]-Inventory[[#This Row],[Qty Allocated]],0)</f>
        <v>491</v>
      </c>
      <c r="K473">
        <v>290</v>
      </c>
      <c r="L473" t="s">
        <v>1759</v>
      </c>
      <c r="M473" t="s">
        <v>1760</v>
      </c>
      <c r="N473" t="s">
        <v>1761</v>
      </c>
      <c r="O473" t="s">
        <v>26</v>
      </c>
      <c r="P473" t="s">
        <v>1115</v>
      </c>
      <c r="Q473" t="s">
        <v>34</v>
      </c>
    </row>
    <row r="474" spans="1:17" x14ac:dyDescent="0.25">
      <c r="A474" t="s">
        <v>1710</v>
      </c>
      <c r="B474" t="s">
        <v>1612</v>
      </c>
      <c r="C474" t="s">
        <v>19</v>
      </c>
      <c r="D474" t="s">
        <v>20</v>
      </c>
      <c r="E474" t="s">
        <v>171</v>
      </c>
      <c r="F474" t="s">
        <v>83</v>
      </c>
      <c r="G474">
        <v>28202</v>
      </c>
      <c r="H474">
        <v>634</v>
      </c>
      <c r="I474">
        <v>66</v>
      </c>
      <c r="J474" s="4">
        <f>MAX(Inventory[[#This Row],[Qty On Hand]]-Inventory[[#This Row],[Qty Allocated]],0)</f>
        <v>568</v>
      </c>
      <c r="K474">
        <v>328</v>
      </c>
      <c r="L474" t="s">
        <v>1762</v>
      </c>
      <c r="M474" t="s">
        <v>1763</v>
      </c>
      <c r="N474" t="s">
        <v>1764</v>
      </c>
      <c r="O474" t="s">
        <v>26</v>
      </c>
      <c r="P474" t="s">
        <v>972</v>
      </c>
      <c r="Q474" t="s">
        <v>92</v>
      </c>
    </row>
    <row r="475" spans="1:17" x14ac:dyDescent="0.25">
      <c r="A475" t="s">
        <v>1710</v>
      </c>
      <c r="B475" t="s">
        <v>1612</v>
      </c>
      <c r="C475" t="s">
        <v>19</v>
      </c>
      <c r="D475" t="s">
        <v>20</v>
      </c>
      <c r="E475" t="s">
        <v>171</v>
      </c>
      <c r="F475" t="s">
        <v>83</v>
      </c>
      <c r="G475">
        <v>28202</v>
      </c>
      <c r="H475">
        <v>758</v>
      </c>
      <c r="I475">
        <v>85</v>
      </c>
      <c r="J475" s="4">
        <f>MAX(Inventory[[#This Row],[Qty On Hand]]-Inventory[[#This Row],[Qty Allocated]],0)</f>
        <v>673</v>
      </c>
      <c r="K475">
        <v>121</v>
      </c>
      <c r="L475" t="s">
        <v>1765</v>
      </c>
      <c r="M475" t="s">
        <v>1766</v>
      </c>
      <c r="N475" t="s">
        <v>1767</v>
      </c>
      <c r="O475" t="s">
        <v>48</v>
      </c>
      <c r="P475" t="s">
        <v>1768</v>
      </c>
      <c r="Q475" t="s">
        <v>34</v>
      </c>
    </row>
    <row r="476" spans="1:17" x14ac:dyDescent="0.25">
      <c r="A476" t="s">
        <v>1710</v>
      </c>
      <c r="B476" t="s">
        <v>1612</v>
      </c>
      <c r="C476" t="s">
        <v>19</v>
      </c>
      <c r="D476" t="s">
        <v>20</v>
      </c>
      <c r="E476" t="s">
        <v>171</v>
      </c>
      <c r="F476" t="s">
        <v>83</v>
      </c>
      <c r="G476">
        <v>28202</v>
      </c>
      <c r="H476">
        <v>540</v>
      </c>
      <c r="I476">
        <v>2</v>
      </c>
      <c r="J476" s="4">
        <f>MAX(Inventory[[#This Row],[Qty On Hand]]-Inventory[[#This Row],[Qty Allocated]],0)</f>
        <v>538</v>
      </c>
      <c r="K476">
        <v>190</v>
      </c>
      <c r="L476" t="s">
        <v>1769</v>
      </c>
      <c r="M476" t="s">
        <v>1770</v>
      </c>
      <c r="N476" t="s">
        <v>324</v>
      </c>
      <c r="O476" t="s">
        <v>26</v>
      </c>
      <c r="P476" t="s">
        <v>1554</v>
      </c>
      <c r="Q476" t="s">
        <v>40</v>
      </c>
    </row>
    <row r="477" spans="1:17" x14ac:dyDescent="0.25">
      <c r="A477" t="s">
        <v>1771</v>
      </c>
      <c r="B477" t="s">
        <v>1612</v>
      </c>
      <c r="C477" t="s">
        <v>19</v>
      </c>
      <c r="D477" t="s">
        <v>229</v>
      </c>
      <c r="E477" t="s">
        <v>21</v>
      </c>
      <c r="F477" t="s">
        <v>22</v>
      </c>
      <c r="G477">
        <v>94102</v>
      </c>
      <c r="H477">
        <v>3</v>
      </c>
      <c r="I477">
        <v>0</v>
      </c>
      <c r="J477" s="4">
        <f>MAX(Inventory[[#This Row],[Qty On Hand]]-Inventory[[#This Row],[Qty Allocated]],0)</f>
        <v>3</v>
      </c>
      <c r="K477">
        <v>261</v>
      </c>
      <c r="L477" t="s">
        <v>1604</v>
      </c>
      <c r="M477" t="s">
        <v>1772</v>
      </c>
      <c r="N477" t="s">
        <v>1773</v>
      </c>
      <c r="O477" t="s">
        <v>26</v>
      </c>
      <c r="P477" t="s">
        <v>1774</v>
      </c>
      <c r="Q477" t="s">
        <v>40</v>
      </c>
    </row>
    <row r="478" spans="1:17" x14ac:dyDescent="0.25">
      <c r="A478" t="s">
        <v>1771</v>
      </c>
      <c r="B478" t="s">
        <v>1612</v>
      </c>
      <c r="C478" t="s">
        <v>19</v>
      </c>
      <c r="D478" t="s">
        <v>229</v>
      </c>
      <c r="E478" t="s">
        <v>21</v>
      </c>
      <c r="F478" t="s">
        <v>29</v>
      </c>
      <c r="G478">
        <v>98072</v>
      </c>
      <c r="H478">
        <v>2082</v>
      </c>
      <c r="I478">
        <v>45</v>
      </c>
      <c r="J478" s="4">
        <f>MAX(Inventory[[#This Row],[Qty On Hand]]-Inventory[[#This Row],[Qty Allocated]],0)</f>
        <v>2037</v>
      </c>
      <c r="K478">
        <v>465</v>
      </c>
      <c r="L478" t="s">
        <v>1775</v>
      </c>
      <c r="M478" t="s">
        <v>1776</v>
      </c>
      <c r="N478" t="s">
        <v>1777</v>
      </c>
      <c r="O478" t="s">
        <v>26</v>
      </c>
      <c r="P478" t="s">
        <v>1421</v>
      </c>
      <c r="Q478" t="s">
        <v>40</v>
      </c>
    </row>
    <row r="479" spans="1:17" x14ac:dyDescent="0.25">
      <c r="A479" t="s">
        <v>1771</v>
      </c>
      <c r="B479" t="s">
        <v>1612</v>
      </c>
      <c r="C479" t="s">
        <v>19</v>
      </c>
      <c r="D479" t="s">
        <v>229</v>
      </c>
      <c r="E479" t="s">
        <v>21</v>
      </c>
      <c r="F479" t="s">
        <v>35</v>
      </c>
      <c r="G479">
        <v>75201</v>
      </c>
      <c r="H479">
        <v>926</v>
      </c>
      <c r="I479">
        <v>82</v>
      </c>
      <c r="J479" s="4">
        <f>MAX(Inventory[[#This Row],[Qty On Hand]]-Inventory[[#This Row],[Qty Allocated]],0)</f>
        <v>844</v>
      </c>
      <c r="K479">
        <v>125</v>
      </c>
      <c r="L479" t="s">
        <v>1778</v>
      </c>
      <c r="M479" t="s">
        <v>1779</v>
      </c>
      <c r="N479" t="s">
        <v>1780</v>
      </c>
      <c r="O479" t="s">
        <v>26</v>
      </c>
      <c r="P479" t="s">
        <v>1781</v>
      </c>
      <c r="Q479" t="s">
        <v>34</v>
      </c>
    </row>
    <row r="480" spans="1:17" x14ac:dyDescent="0.25">
      <c r="A480" t="s">
        <v>1771</v>
      </c>
      <c r="B480" t="s">
        <v>1612</v>
      </c>
      <c r="C480" t="s">
        <v>19</v>
      </c>
      <c r="D480" t="s">
        <v>229</v>
      </c>
      <c r="E480" t="s">
        <v>21</v>
      </c>
      <c r="F480" t="s">
        <v>35</v>
      </c>
      <c r="G480">
        <v>75201</v>
      </c>
      <c r="H480">
        <v>726</v>
      </c>
      <c r="I480">
        <v>41</v>
      </c>
      <c r="J480" s="4">
        <f>MAX(Inventory[[#This Row],[Qty On Hand]]-Inventory[[#This Row],[Qty Allocated]],0)</f>
        <v>685</v>
      </c>
      <c r="K480">
        <v>301</v>
      </c>
      <c r="L480" t="s">
        <v>1782</v>
      </c>
      <c r="M480" t="s">
        <v>1783</v>
      </c>
      <c r="N480" t="s">
        <v>1784</v>
      </c>
      <c r="O480" t="s">
        <v>26</v>
      </c>
      <c r="P480" t="s">
        <v>1785</v>
      </c>
      <c r="Q480" t="s">
        <v>92</v>
      </c>
    </row>
    <row r="481" spans="1:17" x14ac:dyDescent="0.25">
      <c r="A481" t="s">
        <v>1771</v>
      </c>
      <c r="B481" t="s">
        <v>1612</v>
      </c>
      <c r="C481" t="s">
        <v>19</v>
      </c>
      <c r="D481" t="s">
        <v>229</v>
      </c>
      <c r="E481" t="s">
        <v>21</v>
      </c>
      <c r="F481" t="s">
        <v>35</v>
      </c>
      <c r="G481">
        <v>75201</v>
      </c>
      <c r="H481">
        <v>808</v>
      </c>
      <c r="I481">
        <v>23</v>
      </c>
      <c r="J481" s="4">
        <f>MAX(Inventory[[#This Row],[Qty On Hand]]-Inventory[[#This Row],[Qty Allocated]],0)</f>
        <v>785</v>
      </c>
      <c r="K481">
        <v>349</v>
      </c>
      <c r="L481" t="s">
        <v>1786</v>
      </c>
      <c r="M481" t="s">
        <v>1787</v>
      </c>
      <c r="N481" t="s">
        <v>1788</v>
      </c>
      <c r="O481" t="s">
        <v>26</v>
      </c>
      <c r="P481" t="s">
        <v>1789</v>
      </c>
      <c r="Q481" t="s">
        <v>40</v>
      </c>
    </row>
    <row r="482" spans="1:17" x14ac:dyDescent="0.25">
      <c r="A482" t="s">
        <v>1771</v>
      </c>
      <c r="B482" t="s">
        <v>1612</v>
      </c>
      <c r="C482" t="s">
        <v>19</v>
      </c>
      <c r="D482" t="s">
        <v>229</v>
      </c>
      <c r="E482" t="s">
        <v>21</v>
      </c>
      <c r="F482" t="s">
        <v>35</v>
      </c>
      <c r="G482">
        <v>75201</v>
      </c>
      <c r="H482">
        <v>703</v>
      </c>
      <c r="I482">
        <v>14</v>
      </c>
      <c r="J482" s="4">
        <f>MAX(Inventory[[#This Row],[Qty On Hand]]-Inventory[[#This Row],[Qty Allocated]],0)</f>
        <v>689</v>
      </c>
      <c r="K482">
        <v>229</v>
      </c>
      <c r="L482" t="s">
        <v>1790</v>
      </c>
      <c r="M482" t="s">
        <v>1791</v>
      </c>
      <c r="N482" t="s">
        <v>1792</v>
      </c>
      <c r="O482" t="s">
        <v>26</v>
      </c>
      <c r="P482" t="s">
        <v>1793</v>
      </c>
      <c r="Q482" t="s">
        <v>40</v>
      </c>
    </row>
    <row r="483" spans="1:17" x14ac:dyDescent="0.25">
      <c r="A483" t="s">
        <v>1771</v>
      </c>
      <c r="B483" t="s">
        <v>1612</v>
      </c>
      <c r="C483" t="s">
        <v>19</v>
      </c>
      <c r="D483" t="s">
        <v>229</v>
      </c>
      <c r="E483" t="s">
        <v>21</v>
      </c>
      <c r="F483" t="s">
        <v>35</v>
      </c>
      <c r="G483">
        <v>75201</v>
      </c>
      <c r="H483">
        <v>909</v>
      </c>
      <c r="I483">
        <v>7</v>
      </c>
      <c r="J483" s="4">
        <f>MAX(Inventory[[#This Row],[Qty On Hand]]-Inventory[[#This Row],[Qty Allocated]],0)</f>
        <v>902</v>
      </c>
      <c r="K483">
        <v>142</v>
      </c>
      <c r="L483" t="s">
        <v>1794</v>
      </c>
      <c r="M483" t="s">
        <v>1795</v>
      </c>
      <c r="N483" t="s">
        <v>1366</v>
      </c>
      <c r="O483" t="s">
        <v>48</v>
      </c>
      <c r="P483" t="s">
        <v>1796</v>
      </c>
      <c r="Q483" t="s">
        <v>92</v>
      </c>
    </row>
    <row r="484" spans="1:17" x14ac:dyDescent="0.25">
      <c r="A484" t="s">
        <v>1771</v>
      </c>
      <c r="B484" t="s">
        <v>1612</v>
      </c>
      <c r="C484" t="s">
        <v>19</v>
      </c>
      <c r="D484" t="s">
        <v>229</v>
      </c>
      <c r="E484" t="s">
        <v>21</v>
      </c>
      <c r="F484" t="s">
        <v>35</v>
      </c>
      <c r="G484">
        <v>75201</v>
      </c>
      <c r="H484">
        <v>748</v>
      </c>
      <c r="I484">
        <v>56</v>
      </c>
      <c r="J484" s="4">
        <f>MAX(Inventory[[#This Row],[Qty On Hand]]-Inventory[[#This Row],[Qty Allocated]],0)</f>
        <v>692</v>
      </c>
      <c r="K484">
        <v>262</v>
      </c>
      <c r="L484" t="s">
        <v>1797</v>
      </c>
      <c r="M484" t="s">
        <v>1798</v>
      </c>
      <c r="N484" t="s">
        <v>1799</v>
      </c>
      <c r="O484" t="s">
        <v>26</v>
      </c>
      <c r="P484" t="s">
        <v>425</v>
      </c>
      <c r="Q484" t="s">
        <v>40</v>
      </c>
    </row>
    <row r="485" spans="1:17" x14ac:dyDescent="0.25">
      <c r="A485" t="s">
        <v>1771</v>
      </c>
      <c r="B485" t="s">
        <v>1612</v>
      </c>
      <c r="C485" t="s">
        <v>19</v>
      </c>
      <c r="D485" t="s">
        <v>229</v>
      </c>
      <c r="E485" t="s">
        <v>21</v>
      </c>
      <c r="F485" t="s">
        <v>62</v>
      </c>
      <c r="G485">
        <v>63101</v>
      </c>
      <c r="H485">
        <v>320</v>
      </c>
      <c r="I485">
        <v>80</v>
      </c>
      <c r="J485" s="4">
        <f>MAX(Inventory[[#This Row],[Qty On Hand]]-Inventory[[#This Row],[Qty Allocated]],0)</f>
        <v>240</v>
      </c>
      <c r="K485">
        <v>169</v>
      </c>
      <c r="L485" t="s">
        <v>1800</v>
      </c>
      <c r="M485" t="s">
        <v>1801</v>
      </c>
      <c r="N485" t="s">
        <v>1802</v>
      </c>
      <c r="O485" t="s">
        <v>26</v>
      </c>
      <c r="P485" t="s">
        <v>1803</v>
      </c>
      <c r="Q485" t="s">
        <v>34</v>
      </c>
    </row>
    <row r="486" spans="1:17" x14ac:dyDescent="0.25">
      <c r="A486" t="s">
        <v>1771</v>
      </c>
      <c r="B486" t="s">
        <v>1612</v>
      </c>
      <c r="C486" t="s">
        <v>19</v>
      </c>
      <c r="D486" t="s">
        <v>229</v>
      </c>
      <c r="E486" t="s">
        <v>21</v>
      </c>
      <c r="F486" t="s">
        <v>62</v>
      </c>
      <c r="G486">
        <v>63101</v>
      </c>
      <c r="H486">
        <v>946</v>
      </c>
      <c r="I486">
        <v>85</v>
      </c>
      <c r="J486" s="4">
        <f>MAX(Inventory[[#This Row],[Qty On Hand]]-Inventory[[#This Row],[Qty Allocated]],0)</f>
        <v>861</v>
      </c>
      <c r="K486">
        <v>160</v>
      </c>
      <c r="L486" t="s">
        <v>1804</v>
      </c>
      <c r="M486" t="s">
        <v>1805</v>
      </c>
      <c r="N486" t="s">
        <v>459</v>
      </c>
      <c r="O486" t="s">
        <v>26</v>
      </c>
      <c r="P486" t="s">
        <v>1806</v>
      </c>
      <c r="Q486" t="s">
        <v>92</v>
      </c>
    </row>
    <row r="487" spans="1:17" x14ac:dyDescent="0.25">
      <c r="A487" t="s">
        <v>1771</v>
      </c>
      <c r="B487" t="s">
        <v>1612</v>
      </c>
      <c r="C487" t="s">
        <v>19</v>
      </c>
      <c r="D487" t="s">
        <v>229</v>
      </c>
      <c r="E487" t="s">
        <v>21</v>
      </c>
      <c r="F487" t="s">
        <v>62</v>
      </c>
      <c r="G487">
        <v>63101</v>
      </c>
      <c r="H487">
        <v>477</v>
      </c>
      <c r="I487">
        <v>90</v>
      </c>
      <c r="J487" s="4">
        <f>MAX(Inventory[[#This Row],[Qty On Hand]]-Inventory[[#This Row],[Qty Allocated]],0)</f>
        <v>387</v>
      </c>
      <c r="K487">
        <v>168</v>
      </c>
      <c r="L487" t="s">
        <v>1699</v>
      </c>
      <c r="M487" t="s">
        <v>1807</v>
      </c>
      <c r="N487" t="s">
        <v>1808</v>
      </c>
      <c r="O487" t="s">
        <v>48</v>
      </c>
      <c r="P487" t="s">
        <v>1809</v>
      </c>
      <c r="Q487" t="s">
        <v>40</v>
      </c>
    </row>
    <row r="488" spans="1:17" x14ac:dyDescent="0.25">
      <c r="A488" t="s">
        <v>1771</v>
      </c>
      <c r="B488" t="s">
        <v>1612</v>
      </c>
      <c r="C488" t="s">
        <v>19</v>
      </c>
      <c r="D488" t="s">
        <v>229</v>
      </c>
      <c r="E488" t="s">
        <v>21</v>
      </c>
      <c r="F488" t="s">
        <v>62</v>
      </c>
      <c r="G488">
        <v>63101</v>
      </c>
      <c r="H488">
        <v>959</v>
      </c>
      <c r="I488">
        <v>70</v>
      </c>
      <c r="J488" s="4">
        <f>MAX(Inventory[[#This Row],[Qty On Hand]]-Inventory[[#This Row],[Qty Allocated]],0)</f>
        <v>889</v>
      </c>
      <c r="K488">
        <v>386</v>
      </c>
      <c r="L488" t="s">
        <v>1810</v>
      </c>
      <c r="M488" t="s">
        <v>1811</v>
      </c>
      <c r="N488" t="s">
        <v>1802</v>
      </c>
      <c r="O488" t="s">
        <v>48</v>
      </c>
      <c r="P488" t="s">
        <v>580</v>
      </c>
      <c r="Q488" t="s">
        <v>40</v>
      </c>
    </row>
    <row r="489" spans="1:17" x14ac:dyDescent="0.25">
      <c r="A489" t="s">
        <v>1771</v>
      </c>
      <c r="B489" t="s">
        <v>1612</v>
      </c>
      <c r="C489" t="s">
        <v>19</v>
      </c>
      <c r="D489" t="s">
        <v>229</v>
      </c>
      <c r="E489" t="s">
        <v>21</v>
      </c>
      <c r="F489" t="s">
        <v>62</v>
      </c>
      <c r="G489">
        <v>63101</v>
      </c>
      <c r="H489">
        <v>666</v>
      </c>
      <c r="I489">
        <v>78</v>
      </c>
      <c r="J489" s="4">
        <f>MAX(Inventory[[#This Row],[Qty On Hand]]-Inventory[[#This Row],[Qty Allocated]],0)</f>
        <v>588</v>
      </c>
      <c r="K489">
        <v>198</v>
      </c>
      <c r="L489" t="s">
        <v>1812</v>
      </c>
      <c r="M489" t="s">
        <v>1813</v>
      </c>
      <c r="N489" t="s">
        <v>1299</v>
      </c>
      <c r="O489" t="s">
        <v>26</v>
      </c>
      <c r="P489" t="s">
        <v>651</v>
      </c>
      <c r="Q489" t="s">
        <v>34</v>
      </c>
    </row>
    <row r="490" spans="1:17" x14ac:dyDescent="0.25">
      <c r="A490" t="s">
        <v>1771</v>
      </c>
      <c r="B490" t="s">
        <v>1612</v>
      </c>
      <c r="C490" t="s">
        <v>19</v>
      </c>
      <c r="D490" t="s">
        <v>229</v>
      </c>
      <c r="E490" t="s">
        <v>21</v>
      </c>
      <c r="F490" t="s">
        <v>83</v>
      </c>
      <c r="G490">
        <v>28202</v>
      </c>
      <c r="H490">
        <v>982</v>
      </c>
      <c r="I490">
        <v>51</v>
      </c>
      <c r="J490" s="4">
        <f>MAX(Inventory[[#This Row],[Qty On Hand]]-Inventory[[#This Row],[Qty Allocated]],0)</f>
        <v>931</v>
      </c>
      <c r="K490">
        <v>385</v>
      </c>
      <c r="L490" t="s">
        <v>1814</v>
      </c>
      <c r="M490" t="s">
        <v>1815</v>
      </c>
      <c r="N490" t="s">
        <v>1457</v>
      </c>
      <c r="O490" t="s">
        <v>26</v>
      </c>
      <c r="P490" t="s">
        <v>522</v>
      </c>
      <c r="Q490" t="s">
        <v>28</v>
      </c>
    </row>
    <row r="491" spans="1:17" x14ac:dyDescent="0.25">
      <c r="A491" t="s">
        <v>1771</v>
      </c>
      <c r="B491" t="s">
        <v>1612</v>
      </c>
      <c r="C491" t="s">
        <v>19</v>
      </c>
      <c r="D491" t="s">
        <v>229</v>
      </c>
      <c r="E491" t="s">
        <v>21</v>
      </c>
      <c r="F491" t="s">
        <v>83</v>
      </c>
      <c r="G491">
        <v>28202</v>
      </c>
      <c r="H491">
        <v>442</v>
      </c>
      <c r="I491">
        <v>59</v>
      </c>
      <c r="J491" s="4">
        <f>MAX(Inventory[[#This Row],[Qty On Hand]]-Inventory[[#This Row],[Qty Allocated]],0)</f>
        <v>383</v>
      </c>
      <c r="K491">
        <v>346</v>
      </c>
      <c r="L491" t="s">
        <v>1816</v>
      </c>
      <c r="M491" t="s">
        <v>1817</v>
      </c>
      <c r="N491" t="s">
        <v>1818</v>
      </c>
      <c r="O491" t="s">
        <v>26</v>
      </c>
      <c r="P491" t="s">
        <v>1819</v>
      </c>
      <c r="Q491" t="s">
        <v>28</v>
      </c>
    </row>
    <row r="492" spans="1:17" x14ac:dyDescent="0.25">
      <c r="A492" t="s">
        <v>1771</v>
      </c>
      <c r="B492" t="s">
        <v>1612</v>
      </c>
      <c r="C492" t="s">
        <v>19</v>
      </c>
      <c r="D492" t="s">
        <v>229</v>
      </c>
      <c r="E492" t="s">
        <v>21</v>
      </c>
      <c r="F492" t="s">
        <v>83</v>
      </c>
      <c r="G492">
        <v>28202</v>
      </c>
      <c r="H492">
        <v>792</v>
      </c>
      <c r="I492">
        <v>70</v>
      </c>
      <c r="J492" s="4">
        <f>MAX(Inventory[[#This Row],[Qty On Hand]]-Inventory[[#This Row],[Qty Allocated]],0)</f>
        <v>722</v>
      </c>
      <c r="K492">
        <v>183</v>
      </c>
      <c r="L492" t="s">
        <v>1820</v>
      </c>
      <c r="M492" t="s">
        <v>1821</v>
      </c>
      <c r="N492" t="s">
        <v>1822</v>
      </c>
      <c r="O492" t="s">
        <v>26</v>
      </c>
      <c r="P492" t="s">
        <v>1823</v>
      </c>
      <c r="Q492" t="s">
        <v>92</v>
      </c>
    </row>
    <row r="493" spans="1:17" x14ac:dyDescent="0.25">
      <c r="A493" t="s">
        <v>1771</v>
      </c>
      <c r="B493" t="s">
        <v>1612</v>
      </c>
      <c r="C493" t="s">
        <v>19</v>
      </c>
      <c r="D493" t="s">
        <v>229</v>
      </c>
      <c r="E493" t="s">
        <v>21</v>
      </c>
      <c r="F493" t="s">
        <v>83</v>
      </c>
      <c r="G493">
        <v>28202</v>
      </c>
      <c r="H493">
        <v>701</v>
      </c>
      <c r="I493">
        <v>58</v>
      </c>
      <c r="J493" s="4">
        <f>MAX(Inventory[[#This Row],[Qty On Hand]]-Inventory[[#This Row],[Qty Allocated]],0)</f>
        <v>643</v>
      </c>
      <c r="K493">
        <v>242</v>
      </c>
      <c r="L493" t="s">
        <v>1824</v>
      </c>
      <c r="M493" t="s">
        <v>1825</v>
      </c>
      <c r="N493" t="s">
        <v>1826</v>
      </c>
      <c r="O493" t="s">
        <v>26</v>
      </c>
      <c r="P493" t="s">
        <v>1827</v>
      </c>
      <c r="Q493" t="s">
        <v>40</v>
      </c>
    </row>
    <row r="494" spans="1:17" x14ac:dyDescent="0.25">
      <c r="A494" t="s">
        <v>1771</v>
      </c>
      <c r="B494" t="s">
        <v>1612</v>
      </c>
      <c r="C494" t="s">
        <v>19</v>
      </c>
      <c r="D494" t="s">
        <v>229</v>
      </c>
      <c r="E494" t="s">
        <v>21</v>
      </c>
      <c r="F494" t="s">
        <v>83</v>
      </c>
      <c r="G494">
        <v>28202</v>
      </c>
      <c r="H494">
        <v>788</v>
      </c>
      <c r="I494">
        <v>90</v>
      </c>
      <c r="J494" s="4">
        <f>MAX(Inventory[[#This Row],[Qty On Hand]]-Inventory[[#This Row],[Qty Allocated]],0)</f>
        <v>698</v>
      </c>
      <c r="K494">
        <v>161</v>
      </c>
      <c r="L494" t="s">
        <v>1828</v>
      </c>
      <c r="M494" t="s">
        <v>1829</v>
      </c>
      <c r="N494" t="s">
        <v>401</v>
      </c>
      <c r="O494" t="s">
        <v>48</v>
      </c>
      <c r="P494" t="s">
        <v>1830</v>
      </c>
      <c r="Q494" t="s">
        <v>28</v>
      </c>
    </row>
    <row r="495" spans="1:17" x14ac:dyDescent="0.25">
      <c r="A495" t="s">
        <v>1771</v>
      </c>
      <c r="B495" t="s">
        <v>1612</v>
      </c>
      <c r="C495" t="s">
        <v>19</v>
      </c>
      <c r="D495" t="s">
        <v>229</v>
      </c>
      <c r="E495" t="s">
        <v>21</v>
      </c>
      <c r="F495" t="s">
        <v>83</v>
      </c>
      <c r="G495">
        <v>28202</v>
      </c>
      <c r="H495">
        <v>664</v>
      </c>
      <c r="I495">
        <v>15</v>
      </c>
      <c r="J495" s="4">
        <f>MAX(Inventory[[#This Row],[Qty On Hand]]-Inventory[[#This Row],[Qty Allocated]],0)</f>
        <v>649</v>
      </c>
      <c r="K495">
        <v>150</v>
      </c>
      <c r="L495" t="s">
        <v>250</v>
      </c>
      <c r="M495" t="s">
        <v>1831</v>
      </c>
      <c r="N495" t="s">
        <v>1832</v>
      </c>
      <c r="O495" t="s">
        <v>26</v>
      </c>
      <c r="P495" t="s">
        <v>1833</v>
      </c>
      <c r="Q495" t="s">
        <v>28</v>
      </c>
    </row>
    <row r="496" spans="1:17" x14ac:dyDescent="0.25">
      <c r="A496" t="s">
        <v>1834</v>
      </c>
      <c r="B496" t="s">
        <v>1612</v>
      </c>
      <c r="C496" t="s">
        <v>19</v>
      </c>
      <c r="D496" t="s">
        <v>229</v>
      </c>
      <c r="E496" t="s">
        <v>122</v>
      </c>
      <c r="F496" t="s">
        <v>35</v>
      </c>
      <c r="G496">
        <v>75201</v>
      </c>
      <c r="H496">
        <v>761</v>
      </c>
      <c r="I496">
        <v>34</v>
      </c>
      <c r="J496" s="4">
        <f>MAX(Inventory[[#This Row],[Qty On Hand]]-Inventory[[#This Row],[Qty Allocated]],0)</f>
        <v>727</v>
      </c>
      <c r="K496">
        <v>122</v>
      </c>
      <c r="L496" t="s">
        <v>1835</v>
      </c>
      <c r="M496" t="s">
        <v>1836</v>
      </c>
      <c r="N496" t="s">
        <v>1395</v>
      </c>
      <c r="O496" t="s">
        <v>48</v>
      </c>
      <c r="P496" t="s">
        <v>1837</v>
      </c>
      <c r="Q496" t="s">
        <v>92</v>
      </c>
    </row>
    <row r="497" spans="1:17" x14ac:dyDescent="0.25">
      <c r="A497" t="s">
        <v>1834</v>
      </c>
      <c r="B497" t="s">
        <v>1612</v>
      </c>
      <c r="C497" t="s">
        <v>19</v>
      </c>
      <c r="D497" t="s">
        <v>229</v>
      </c>
      <c r="E497" t="s">
        <v>122</v>
      </c>
      <c r="F497" t="s">
        <v>35</v>
      </c>
      <c r="G497">
        <v>75201</v>
      </c>
      <c r="H497">
        <v>998</v>
      </c>
      <c r="I497">
        <v>76</v>
      </c>
      <c r="J497" s="4">
        <f>MAX(Inventory[[#This Row],[Qty On Hand]]-Inventory[[#This Row],[Qty Allocated]],0)</f>
        <v>922</v>
      </c>
      <c r="K497">
        <v>112</v>
      </c>
      <c r="L497" t="s">
        <v>1838</v>
      </c>
      <c r="M497" t="s">
        <v>1839</v>
      </c>
      <c r="N497" t="s">
        <v>1840</v>
      </c>
      <c r="O497" t="s">
        <v>26</v>
      </c>
      <c r="P497" t="s">
        <v>1656</v>
      </c>
      <c r="Q497" t="s">
        <v>28</v>
      </c>
    </row>
    <row r="498" spans="1:17" x14ac:dyDescent="0.25">
      <c r="A498" t="s">
        <v>1834</v>
      </c>
      <c r="B498" t="s">
        <v>1612</v>
      </c>
      <c r="C498" t="s">
        <v>19</v>
      </c>
      <c r="D498" t="s">
        <v>229</v>
      </c>
      <c r="E498" t="s">
        <v>122</v>
      </c>
      <c r="F498" t="s">
        <v>35</v>
      </c>
      <c r="G498">
        <v>75201</v>
      </c>
      <c r="H498">
        <v>355</v>
      </c>
      <c r="I498">
        <v>29</v>
      </c>
      <c r="J498" s="4">
        <f>MAX(Inventory[[#This Row],[Qty On Hand]]-Inventory[[#This Row],[Qty Allocated]],0)</f>
        <v>326</v>
      </c>
      <c r="K498">
        <v>193</v>
      </c>
      <c r="L498" t="s">
        <v>1841</v>
      </c>
      <c r="M498" t="s">
        <v>1842</v>
      </c>
      <c r="N498" t="s">
        <v>1843</v>
      </c>
      <c r="O498" t="s">
        <v>26</v>
      </c>
      <c r="P498" t="s">
        <v>1012</v>
      </c>
      <c r="Q498" t="s">
        <v>40</v>
      </c>
    </row>
    <row r="499" spans="1:17" x14ac:dyDescent="0.25">
      <c r="A499" t="s">
        <v>1834</v>
      </c>
      <c r="B499" t="s">
        <v>1612</v>
      </c>
      <c r="C499" t="s">
        <v>19</v>
      </c>
      <c r="D499" t="s">
        <v>229</v>
      </c>
      <c r="E499" t="s">
        <v>122</v>
      </c>
      <c r="F499" t="s">
        <v>35</v>
      </c>
      <c r="G499">
        <v>75201</v>
      </c>
      <c r="H499">
        <v>217</v>
      </c>
      <c r="I499">
        <v>64</v>
      </c>
      <c r="J499" s="4">
        <f>MAX(Inventory[[#This Row],[Qty On Hand]]-Inventory[[#This Row],[Qty Allocated]],0)</f>
        <v>153</v>
      </c>
      <c r="K499">
        <v>372</v>
      </c>
      <c r="L499" t="s">
        <v>1844</v>
      </c>
      <c r="M499" t="s">
        <v>1845</v>
      </c>
      <c r="N499" t="s">
        <v>1846</v>
      </c>
      <c r="O499" t="s">
        <v>26</v>
      </c>
      <c r="P499" t="s">
        <v>1847</v>
      </c>
      <c r="Q499" t="s">
        <v>34</v>
      </c>
    </row>
    <row r="500" spans="1:17" x14ac:dyDescent="0.25">
      <c r="A500" t="s">
        <v>1834</v>
      </c>
      <c r="B500" t="s">
        <v>1612</v>
      </c>
      <c r="C500" t="s">
        <v>19</v>
      </c>
      <c r="D500" t="s">
        <v>229</v>
      </c>
      <c r="E500" t="s">
        <v>122</v>
      </c>
      <c r="F500" t="s">
        <v>35</v>
      </c>
      <c r="G500">
        <v>75201</v>
      </c>
      <c r="H500">
        <v>951</v>
      </c>
      <c r="I500">
        <v>84</v>
      </c>
      <c r="J500" s="4">
        <f>MAX(Inventory[[#This Row],[Qty On Hand]]-Inventory[[#This Row],[Qty Allocated]],0)</f>
        <v>867</v>
      </c>
      <c r="K500">
        <v>174</v>
      </c>
      <c r="L500" t="s">
        <v>1848</v>
      </c>
      <c r="M500" t="s">
        <v>1849</v>
      </c>
      <c r="N500" t="s">
        <v>1187</v>
      </c>
      <c r="O500" t="s">
        <v>26</v>
      </c>
      <c r="P500" t="s">
        <v>1850</v>
      </c>
      <c r="Q500" t="s">
        <v>92</v>
      </c>
    </row>
    <row r="501" spans="1:17" x14ac:dyDescent="0.25">
      <c r="A501" t="s">
        <v>1834</v>
      </c>
      <c r="B501" t="s">
        <v>1612</v>
      </c>
      <c r="C501" t="s">
        <v>19</v>
      </c>
      <c r="D501" t="s">
        <v>229</v>
      </c>
      <c r="E501" t="s">
        <v>122</v>
      </c>
      <c r="F501" t="s">
        <v>35</v>
      </c>
      <c r="G501">
        <v>75201</v>
      </c>
      <c r="H501">
        <v>423</v>
      </c>
      <c r="I501">
        <v>57</v>
      </c>
      <c r="J501" s="4">
        <f>MAX(Inventory[[#This Row],[Qty On Hand]]-Inventory[[#This Row],[Qty Allocated]],0)</f>
        <v>366</v>
      </c>
      <c r="K501">
        <v>364</v>
      </c>
      <c r="L501" t="s">
        <v>1851</v>
      </c>
      <c r="M501" t="s">
        <v>1852</v>
      </c>
      <c r="N501" t="s">
        <v>700</v>
      </c>
      <c r="O501" t="s">
        <v>48</v>
      </c>
      <c r="P501" t="s">
        <v>1853</v>
      </c>
      <c r="Q501" t="s">
        <v>34</v>
      </c>
    </row>
    <row r="502" spans="1:17" x14ac:dyDescent="0.25">
      <c r="A502" t="s">
        <v>1834</v>
      </c>
      <c r="B502" t="s">
        <v>1612</v>
      </c>
      <c r="C502" t="s">
        <v>19</v>
      </c>
      <c r="D502" t="s">
        <v>229</v>
      </c>
      <c r="E502" t="s">
        <v>122</v>
      </c>
      <c r="F502" t="s">
        <v>62</v>
      </c>
      <c r="G502">
        <v>63101</v>
      </c>
      <c r="H502">
        <v>683</v>
      </c>
      <c r="I502">
        <v>33</v>
      </c>
      <c r="J502" s="4">
        <f>MAX(Inventory[[#This Row],[Qty On Hand]]-Inventory[[#This Row],[Qty Allocated]],0)</f>
        <v>650</v>
      </c>
      <c r="K502">
        <v>198</v>
      </c>
      <c r="L502" t="s">
        <v>1854</v>
      </c>
      <c r="M502" t="s">
        <v>1855</v>
      </c>
      <c r="N502" t="s">
        <v>1856</v>
      </c>
      <c r="O502" t="s">
        <v>26</v>
      </c>
      <c r="P502" t="s">
        <v>1857</v>
      </c>
      <c r="Q502" t="s">
        <v>92</v>
      </c>
    </row>
    <row r="503" spans="1:17" x14ac:dyDescent="0.25">
      <c r="A503" t="s">
        <v>1834</v>
      </c>
      <c r="B503" t="s">
        <v>1612</v>
      </c>
      <c r="C503" t="s">
        <v>19</v>
      </c>
      <c r="D503" t="s">
        <v>229</v>
      </c>
      <c r="E503" t="s">
        <v>122</v>
      </c>
      <c r="F503" t="s">
        <v>62</v>
      </c>
      <c r="G503">
        <v>63101</v>
      </c>
      <c r="H503">
        <v>704</v>
      </c>
      <c r="I503">
        <v>97</v>
      </c>
      <c r="J503" s="4">
        <f>MAX(Inventory[[#This Row],[Qty On Hand]]-Inventory[[#This Row],[Qty Allocated]],0)</f>
        <v>607</v>
      </c>
      <c r="K503">
        <v>308</v>
      </c>
      <c r="L503" t="s">
        <v>1858</v>
      </c>
      <c r="M503" t="s">
        <v>1859</v>
      </c>
      <c r="N503" t="s">
        <v>244</v>
      </c>
      <c r="O503" t="s">
        <v>48</v>
      </c>
      <c r="P503" t="s">
        <v>1701</v>
      </c>
      <c r="Q503" t="s">
        <v>28</v>
      </c>
    </row>
    <row r="504" spans="1:17" x14ac:dyDescent="0.25">
      <c r="A504" t="s">
        <v>1834</v>
      </c>
      <c r="B504" t="s">
        <v>1612</v>
      </c>
      <c r="C504" t="s">
        <v>19</v>
      </c>
      <c r="D504" t="s">
        <v>229</v>
      </c>
      <c r="E504" t="s">
        <v>122</v>
      </c>
      <c r="F504" t="s">
        <v>62</v>
      </c>
      <c r="G504">
        <v>63101</v>
      </c>
      <c r="H504">
        <v>621</v>
      </c>
      <c r="I504">
        <v>37</v>
      </c>
      <c r="J504" s="4">
        <f>MAX(Inventory[[#This Row],[Qty On Hand]]-Inventory[[#This Row],[Qty Allocated]],0)</f>
        <v>584</v>
      </c>
      <c r="K504">
        <v>156</v>
      </c>
      <c r="L504" t="s">
        <v>1860</v>
      </c>
      <c r="M504" t="s">
        <v>1861</v>
      </c>
      <c r="N504" t="s">
        <v>782</v>
      </c>
      <c r="O504" t="s">
        <v>26</v>
      </c>
      <c r="P504" t="s">
        <v>1862</v>
      </c>
      <c r="Q504" t="s">
        <v>92</v>
      </c>
    </row>
    <row r="505" spans="1:17" x14ac:dyDescent="0.25">
      <c r="A505" t="s">
        <v>1834</v>
      </c>
      <c r="B505" t="s">
        <v>1612</v>
      </c>
      <c r="C505" t="s">
        <v>19</v>
      </c>
      <c r="D505" t="s">
        <v>229</v>
      </c>
      <c r="E505" t="s">
        <v>122</v>
      </c>
      <c r="F505" t="s">
        <v>62</v>
      </c>
      <c r="G505">
        <v>63101</v>
      </c>
      <c r="H505">
        <v>515</v>
      </c>
      <c r="I505">
        <v>2</v>
      </c>
      <c r="J505" s="4">
        <f>MAX(Inventory[[#This Row],[Qty On Hand]]-Inventory[[#This Row],[Qty Allocated]],0)</f>
        <v>513</v>
      </c>
      <c r="K505">
        <v>378</v>
      </c>
      <c r="L505" t="s">
        <v>1863</v>
      </c>
      <c r="M505" t="s">
        <v>1864</v>
      </c>
      <c r="N505" t="s">
        <v>1865</v>
      </c>
      <c r="O505" t="s">
        <v>26</v>
      </c>
      <c r="P505" t="s">
        <v>1866</v>
      </c>
      <c r="Q505" t="s">
        <v>92</v>
      </c>
    </row>
    <row r="506" spans="1:17" x14ac:dyDescent="0.25">
      <c r="A506" t="s">
        <v>1834</v>
      </c>
      <c r="B506" t="s">
        <v>1612</v>
      </c>
      <c r="C506" t="s">
        <v>19</v>
      </c>
      <c r="D506" t="s">
        <v>229</v>
      </c>
      <c r="E506" t="s">
        <v>122</v>
      </c>
      <c r="F506" t="s">
        <v>83</v>
      </c>
      <c r="G506">
        <v>28202</v>
      </c>
      <c r="H506">
        <v>407</v>
      </c>
      <c r="I506">
        <v>86</v>
      </c>
      <c r="J506" s="4">
        <f>MAX(Inventory[[#This Row],[Qty On Hand]]-Inventory[[#This Row],[Qty Allocated]],0)</f>
        <v>321</v>
      </c>
      <c r="K506">
        <v>113</v>
      </c>
      <c r="L506" t="s">
        <v>1867</v>
      </c>
      <c r="M506" t="s">
        <v>1868</v>
      </c>
      <c r="N506" t="s">
        <v>1764</v>
      </c>
      <c r="O506" t="s">
        <v>26</v>
      </c>
      <c r="P506" t="s">
        <v>1869</v>
      </c>
      <c r="Q506" t="s">
        <v>28</v>
      </c>
    </row>
    <row r="507" spans="1:17" x14ac:dyDescent="0.25">
      <c r="A507" t="s">
        <v>1834</v>
      </c>
      <c r="B507" t="s">
        <v>1612</v>
      </c>
      <c r="C507" t="s">
        <v>19</v>
      </c>
      <c r="D507" t="s">
        <v>229</v>
      </c>
      <c r="E507" t="s">
        <v>122</v>
      </c>
      <c r="F507" t="s">
        <v>83</v>
      </c>
      <c r="G507">
        <v>28202</v>
      </c>
      <c r="H507">
        <v>381</v>
      </c>
      <c r="I507">
        <v>58</v>
      </c>
      <c r="J507" s="4">
        <f>MAX(Inventory[[#This Row],[Qty On Hand]]-Inventory[[#This Row],[Qty Allocated]],0)</f>
        <v>323</v>
      </c>
      <c r="K507">
        <v>341</v>
      </c>
      <c r="L507" t="s">
        <v>1870</v>
      </c>
      <c r="M507" t="s">
        <v>1871</v>
      </c>
      <c r="N507" t="s">
        <v>1872</v>
      </c>
      <c r="O507" t="s">
        <v>26</v>
      </c>
      <c r="P507" t="s">
        <v>1873</v>
      </c>
      <c r="Q507" t="s">
        <v>92</v>
      </c>
    </row>
    <row r="508" spans="1:17" x14ac:dyDescent="0.25">
      <c r="A508" t="s">
        <v>1834</v>
      </c>
      <c r="B508" t="s">
        <v>1612</v>
      </c>
      <c r="C508" t="s">
        <v>19</v>
      </c>
      <c r="D508" t="s">
        <v>229</v>
      </c>
      <c r="E508" t="s">
        <v>122</v>
      </c>
      <c r="F508" t="s">
        <v>83</v>
      </c>
      <c r="G508">
        <v>28202</v>
      </c>
      <c r="H508">
        <v>887</v>
      </c>
      <c r="I508">
        <v>47</v>
      </c>
      <c r="J508" s="4">
        <f>MAX(Inventory[[#This Row],[Qty On Hand]]-Inventory[[#This Row],[Qty Allocated]],0)</f>
        <v>840</v>
      </c>
      <c r="K508">
        <v>297</v>
      </c>
      <c r="L508" t="s">
        <v>1874</v>
      </c>
      <c r="M508" t="s">
        <v>1875</v>
      </c>
      <c r="N508" t="s">
        <v>824</v>
      </c>
      <c r="O508" t="s">
        <v>26</v>
      </c>
      <c r="P508" t="s">
        <v>1876</v>
      </c>
      <c r="Q508" t="s">
        <v>34</v>
      </c>
    </row>
    <row r="509" spans="1:17" x14ac:dyDescent="0.25">
      <c r="A509" t="s">
        <v>1834</v>
      </c>
      <c r="B509" t="s">
        <v>1612</v>
      </c>
      <c r="C509" t="s">
        <v>19</v>
      </c>
      <c r="D509" t="s">
        <v>229</v>
      </c>
      <c r="E509" t="s">
        <v>122</v>
      </c>
      <c r="F509" t="s">
        <v>83</v>
      </c>
      <c r="G509">
        <v>28202</v>
      </c>
      <c r="H509">
        <v>484</v>
      </c>
      <c r="I509">
        <v>47</v>
      </c>
      <c r="J509" s="4">
        <f>MAX(Inventory[[#This Row],[Qty On Hand]]-Inventory[[#This Row],[Qty Allocated]],0)</f>
        <v>437</v>
      </c>
      <c r="K509">
        <v>152</v>
      </c>
      <c r="L509" t="s">
        <v>1066</v>
      </c>
      <c r="M509" t="s">
        <v>1877</v>
      </c>
      <c r="N509" t="s">
        <v>1878</v>
      </c>
      <c r="O509" t="s">
        <v>26</v>
      </c>
      <c r="P509" t="s">
        <v>1879</v>
      </c>
      <c r="Q509" t="s">
        <v>28</v>
      </c>
    </row>
    <row r="510" spans="1:17" x14ac:dyDescent="0.25">
      <c r="A510" t="s">
        <v>1834</v>
      </c>
      <c r="B510" t="s">
        <v>1612</v>
      </c>
      <c r="C510" t="s">
        <v>19</v>
      </c>
      <c r="D510" t="s">
        <v>229</v>
      </c>
      <c r="E510" t="s">
        <v>122</v>
      </c>
      <c r="F510" t="s">
        <v>83</v>
      </c>
      <c r="G510">
        <v>28202</v>
      </c>
      <c r="H510">
        <v>816</v>
      </c>
      <c r="I510">
        <v>1</v>
      </c>
      <c r="J510" s="4">
        <f>MAX(Inventory[[#This Row],[Qty On Hand]]-Inventory[[#This Row],[Qty Allocated]],0)</f>
        <v>815</v>
      </c>
      <c r="K510">
        <v>160</v>
      </c>
      <c r="L510" t="s">
        <v>1880</v>
      </c>
      <c r="M510" t="s">
        <v>1881</v>
      </c>
      <c r="N510" t="s">
        <v>1882</v>
      </c>
      <c r="O510" t="s">
        <v>26</v>
      </c>
      <c r="P510" t="s">
        <v>1883</v>
      </c>
      <c r="Q510" t="s">
        <v>92</v>
      </c>
    </row>
    <row r="511" spans="1:17" x14ac:dyDescent="0.25">
      <c r="A511" t="s">
        <v>1884</v>
      </c>
      <c r="B511" t="s">
        <v>1612</v>
      </c>
      <c r="C511" t="s">
        <v>19</v>
      </c>
      <c r="D511" t="s">
        <v>229</v>
      </c>
      <c r="E511" t="s">
        <v>171</v>
      </c>
      <c r="F511" t="s">
        <v>22</v>
      </c>
      <c r="G511">
        <v>94102</v>
      </c>
      <c r="H511">
        <v>6</v>
      </c>
      <c r="I511">
        <v>2</v>
      </c>
      <c r="J511" s="4">
        <f>MAX(Inventory[[#This Row],[Qty On Hand]]-Inventory[[#This Row],[Qty Allocated]],0)</f>
        <v>4</v>
      </c>
      <c r="K511">
        <v>679</v>
      </c>
      <c r="L511" t="s">
        <v>1885</v>
      </c>
      <c r="M511" t="s">
        <v>1886</v>
      </c>
      <c r="N511" t="s">
        <v>1887</v>
      </c>
      <c r="O511" t="s">
        <v>26</v>
      </c>
      <c r="P511" t="s">
        <v>1888</v>
      </c>
      <c r="Q511" t="s">
        <v>34</v>
      </c>
    </row>
    <row r="512" spans="1:17" x14ac:dyDescent="0.25">
      <c r="A512" t="s">
        <v>1884</v>
      </c>
      <c r="B512" t="s">
        <v>1612</v>
      </c>
      <c r="C512" t="s">
        <v>19</v>
      </c>
      <c r="D512" t="s">
        <v>229</v>
      </c>
      <c r="E512" t="s">
        <v>171</v>
      </c>
      <c r="F512" t="s">
        <v>29</v>
      </c>
      <c r="G512">
        <v>98072</v>
      </c>
      <c r="H512">
        <v>1751</v>
      </c>
      <c r="I512">
        <v>99</v>
      </c>
      <c r="J512" s="4">
        <f>MAX(Inventory[[#This Row],[Qty On Hand]]-Inventory[[#This Row],[Qty Allocated]],0)</f>
        <v>1652</v>
      </c>
      <c r="K512">
        <v>453</v>
      </c>
      <c r="L512" t="s">
        <v>1889</v>
      </c>
      <c r="M512" t="s">
        <v>1890</v>
      </c>
      <c r="N512" t="s">
        <v>1891</v>
      </c>
      <c r="O512" t="s">
        <v>26</v>
      </c>
      <c r="P512" t="s">
        <v>1892</v>
      </c>
      <c r="Q512" t="s">
        <v>40</v>
      </c>
    </row>
    <row r="513" spans="1:17" x14ac:dyDescent="0.25">
      <c r="A513" t="s">
        <v>1884</v>
      </c>
      <c r="B513" t="s">
        <v>1612</v>
      </c>
      <c r="C513" t="s">
        <v>19</v>
      </c>
      <c r="D513" t="s">
        <v>229</v>
      </c>
      <c r="E513" t="s">
        <v>171</v>
      </c>
      <c r="F513" t="s">
        <v>35</v>
      </c>
      <c r="G513">
        <v>75201</v>
      </c>
      <c r="H513">
        <v>696</v>
      </c>
      <c r="I513">
        <v>54</v>
      </c>
      <c r="J513" s="4">
        <f>MAX(Inventory[[#This Row],[Qty On Hand]]-Inventory[[#This Row],[Qty Allocated]],0)</f>
        <v>642</v>
      </c>
      <c r="K513">
        <v>227</v>
      </c>
      <c r="L513" t="s">
        <v>1893</v>
      </c>
      <c r="M513" t="s">
        <v>1894</v>
      </c>
      <c r="N513" t="s">
        <v>1279</v>
      </c>
      <c r="O513" t="s">
        <v>48</v>
      </c>
      <c r="P513" t="s">
        <v>1895</v>
      </c>
      <c r="Q513" t="s">
        <v>92</v>
      </c>
    </row>
    <row r="514" spans="1:17" x14ac:dyDescent="0.25">
      <c r="A514" t="s">
        <v>1884</v>
      </c>
      <c r="B514" t="s">
        <v>1612</v>
      </c>
      <c r="C514" t="s">
        <v>19</v>
      </c>
      <c r="D514" t="s">
        <v>229</v>
      </c>
      <c r="E514" t="s">
        <v>171</v>
      </c>
      <c r="F514" t="s">
        <v>35</v>
      </c>
      <c r="G514">
        <v>75201</v>
      </c>
      <c r="H514">
        <v>544</v>
      </c>
      <c r="I514">
        <v>56</v>
      </c>
      <c r="J514" s="4">
        <f>MAX(Inventory[[#This Row],[Qty On Hand]]-Inventory[[#This Row],[Qty Allocated]],0)</f>
        <v>488</v>
      </c>
      <c r="K514">
        <v>215</v>
      </c>
      <c r="L514" t="s">
        <v>1896</v>
      </c>
      <c r="M514" t="s">
        <v>1897</v>
      </c>
      <c r="N514" t="s">
        <v>1898</v>
      </c>
      <c r="O514" t="s">
        <v>26</v>
      </c>
      <c r="P514" t="s">
        <v>150</v>
      </c>
      <c r="Q514" t="s">
        <v>28</v>
      </c>
    </row>
    <row r="515" spans="1:17" x14ac:dyDescent="0.25">
      <c r="A515" t="s">
        <v>1884</v>
      </c>
      <c r="B515" t="s">
        <v>1612</v>
      </c>
      <c r="C515" t="s">
        <v>19</v>
      </c>
      <c r="D515" t="s">
        <v>229</v>
      </c>
      <c r="E515" t="s">
        <v>171</v>
      </c>
      <c r="F515" t="s">
        <v>35</v>
      </c>
      <c r="G515">
        <v>75201</v>
      </c>
      <c r="H515">
        <v>494</v>
      </c>
      <c r="I515">
        <v>98</v>
      </c>
      <c r="J515" s="4">
        <f>MAX(Inventory[[#This Row],[Qty On Hand]]-Inventory[[#This Row],[Qty Allocated]],0)</f>
        <v>396</v>
      </c>
      <c r="K515">
        <v>290</v>
      </c>
      <c r="L515" t="s">
        <v>1899</v>
      </c>
      <c r="M515" t="s">
        <v>1900</v>
      </c>
      <c r="N515" t="s">
        <v>1901</v>
      </c>
      <c r="O515" t="s">
        <v>26</v>
      </c>
      <c r="P515" t="s">
        <v>1902</v>
      </c>
      <c r="Q515" t="s">
        <v>40</v>
      </c>
    </row>
    <row r="516" spans="1:17" x14ac:dyDescent="0.25">
      <c r="A516" t="s">
        <v>1884</v>
      </c>
      <c r="B516" t="s">
        <v>1612</v>
      </c>
      <c r="C516" t="s">
        <v>19</v>
      </c>
      <c r="D516" t="s">
        <v>229</v>
      </c>
      <c r="E516" t="s">
        <v>171</v>
      </c>
      <c r="F516" t="s">
        <v>35</v>
      </c>
      <c r="G516">
        <v>75201</v>
      </c>
      <c r="H516">
        <v>376</v>
      </c>
      <c r="I516">
        <v>39</v>
      </c>
      <c r="J516" s="4">
        <f>MAX(Inventory[[#This Row],[Qty On Hand]]-Inventory[[#This Row],[Qty Allocated]],0)</f>
        <v>337</v>
      </c>
      <c r="K516">
        <v>211</v>
      </c>
      <c r="L516" t="s">
        <v>1903</v>
      </c>
      <c r="M516" t="s">
        <v>1904</v>
      </c>
      <c r="N516" t="s">
        <v>1905</v>
      </c>
      <c r="O516" t="s">
        <v>26</v>
      </c>
      <c r="P516" t="s">
        <v>1906</v>
      </c>
      <c r="Q516" t="s">
        <v>34</v>
      </c>
    </row>
    <row r="517" spans="1:17" x14ac:dyDescent="0.25">
      <c r="A517" t="s">
        <v>1884</v>
      </c>
      <c r="B517" t="s">
        <v>1612</v>
      </c>
      <c r="C517" t="s">
        <v>19</v>
      </c>
      <c r="D517" t="s">
        <v>229</v>
      </c>
      <c r="E517" t="s">
        <v>171</v>
      </c>
      <c r="F517" t="s">
        <v>35</v>
      </c>
      <c r="G517">
        <v>75201</v>
      </c>
      <c r="H517">
        <v>941</v>
      </c>
      <c r="I517">
        <v>16</v>
      </c>
      <c r="J517" s="4">
        <f>MAX(Inventory[[#This Row],[Qty On Hand]]-Inventory[[#This Row],[Qty Allocated]],0)</f>
        <v>925</v>
      </c>
      <c r="K517">
        <v>353</v>
      </c>
      <c r="L517" t="s">
        <v>1907</v>
      </c>
      <c r="M517" t="s">
        <v>1908</v>
      </c>
      <c r="N517" t="s">
        <v>1909</v>
      </c>
      <c r="O517" t="s">
        <v>26</v>
      </c>
      <c r="P517" t="s">
        <v>245</v>
      </c>
      <c r="Q517" t="s">
        <v>92</v>
      </c>
    </row>
    <row r="518" spans="1:17" x14ac:dyDescent="0.25">
      <c r="A518" t="s">
        <v>1884</v>
      </c>
      <c r="B518" t="s">
        <v>1612</v>
      </c>
      <c r="C518" t="s">
        <v>19</v>
      </c>
      <c r="D518" t="s">
        <v>229</v>
      </c>
      <c r="E518" t="s">
        <v>171</v>
      </c>
      <c r="F518" t="s">
        <v>35</v>
      </c>
      <c r="G518">
        <v>75201</v>
      </c>
      <c r="H518">
        <v>397</v>
      </c>
      <c r="I518">
        <v>17</v>
      </c>
      <c r="J518" s="4">
        <f>MAX(Inventory[[#This Row],[Qty On Hand]]-Inventory[[#This Row],[Qty Allocated]],0)</f>
        <v>380</v>
      </c>
      <c r="K518">
        <v>200</v>
      </c>
      <c r="L518" t="s">
        <v>1910</v>
      </c>
      <c r="M518" t="s">
        <v>1911</v>
      </c>
      <c r="N518" t="s">
        <v>1362</v>
      </c>
      <c r="O518" t="s">
        <v>26</v>
      </c>
      <c r="P518" t="s">
        <v>1912</v>
      </c>
      <c r="Q518" t="s">
        <v>34</v>
      </c>
    </row>
    <row r="519" spans="1:17" x14ac:dyDescent="0.25">
      <c r="A519" t="s">
        <v>1884</v>
      </c>
      <c r="B519" t="s">
        <v>1612</v>
      </c>
      <c r="C519" t="s">
        <v>19</v>
      </c>
      <c r="D519" t="s">
        <v>229</v>
      </c>
      <c r="E519" t="s">
        <v>171</v>
      </c>
      <c r="F519" t="s">
        <v>62</v>
      </c>
      <c r="G519">
        <v>63101</v>
      </c>
      <c r="H519">
        <v>856</v>
      </c>
      <c r="I519">
        <v>40</v>
      </c>
      <c r="J519" s="4">
        <f>MAX(Inventory[[#This Row],[Qty On Hand]]-Inventory[[#This Row],[Qty Allocated]],0)</f>
        <v>816</v>
      </c>
      <c r="K519">
        <v>220</v>
      </c>
      <c r="L519" t="s">
        <v>1327</v>
      </c>
      <c r="M519" t="s">
        <v>1913</v>
      </c>
      <c r="N519" t="s">
        <v>1914</v>
      </c>
      <c r="O519" t="s">
        <v>26</v>
      </c>
      <c r="P519" t="s">
        <v>535</v>
      </c>
      <c r="Q519" t="s">
        <v>34</v>
      </c>
    </row>
    <row r="520" spans="1:17" x14ac:dyDescent="0.25">
      <c r="A520" t="s">
        <v>1884</v>
      </c>
      <c r="B520" t="s">
        <v>1612</v>
      </c>
      <c r="C520" t="s">
        <v>19</v>
      </c>
      <c r="D520" t="s">
        <v>229</v>
      </c>
      <c r="E520" t="s">
        <v>171</v>
      </c>
      <c r="F520" t="s">
        <v>62</v>
      </c>
      <c r="G520">
        <v>63101</v>
      </c>
      <c r="H520">
        <v>878</v>
      </c>
      <c r="I520">
        <v>40</v>
      </c>
      <c r="J520" s="4">
        <f>MAX(Inventory[[#This Row],[Qty On Hand]]-Inventory[[#This Row],[Qty Allocated]],0)</f>
        <v>838</v>
      </c>
      <c r="K520">
        <v>162</v>
      </c>
      <c r="L520" t="s">
        <v>1915</v>
      </c>
      <c r="M520" t="s">
        <v>1916</v>
      </c>
      <c r="N520" t="s">
        <v>1917</v>
      </c>
      <c r="O520" t="s">
        <v>26</v>
      </c>
      <c r="P520" t="s">
        <v>1038</v>
      </c>
      <c r="Q520" t="s">
        <v>28</v>
      </c>
    </row>
    <row r="521" spans="1:17" x14ac:dyDescent="0.25">
      <c r="A521" t="s">
        <v>1884</v>
      </c>
      <c r="B521" t="s">
        <v>1612</v>
      </c>
      <c r="C521" t="s">
        <v>19</v>
      </c>
      <c r="D521" t="s">
        <v>229</v>
      </c>
      <c r="E521" t="s">
        <v>171</v>
      </c>
      <c r="F521" t="s">
        <v>62</v>
      </c>
      <c r="G521">
        <v>63101</v>
      </c>
      <c r="H521">
        <v>440</v>
      </c>
      <c r="I521">
        <v>16</v>
      </c>
      <c r="J521" s="4">
        <f>MAX(Inventory[[#This Row],[Qty On Hand]]-Inventory[[#This Row],[Qty Allocated]],0)</f>
        <v>424</v>
      </c>
      <c r="K521">
        <v>348</v>
      </c>
      <c r="L521" t="s">
        <v>1918</v>
      </c>
      <c r="M521" t="s">
        <v>1919</v>
      </c>
      <c r="N521" t="s">
        <v>1398</v>
      </c>
      <c r="O521" t="s">
        <v>26</v>
      </c>
      <c r="P521" t="s">
        <v>1920</v>
      </c>
      <c r="Q521" t="s">
        <v>28</v>
      </c>
    </row>
    <row r="522" spans="1:17" x14ac:dyDescent="0.25">
      <c r="A522" t="s">
        <v>1884</v>
      </c>
      <c r="B522" t="s">
        <v>1612</v>
      </c>
      <c r="C522" t="s">
        <v>19</v>
      </c>
      <c r="D522" t="s">
        <v>229</v>
      </c>
      <c r="E522" t="s">
        <v>171</v>
      </c>
      <c r="F522" t="s">
        <v>62</v>
      </c>
      <c r="G522">
        <v>63101</v>
      </c>
      <c r="H522">
        <v>444</v>
      </c>
      <c r="I522">
        <v>78</v>
      </c>
      <c r="J522" s="4">
        <f>MAX(Inventory[[#This Row],[Qty On Hand]]-Inventory[[#This Row],[Qty Allocated]],0)</f>
        <v>366</v>
      </c>
      <c r="K522">
        <v>233</v>
      </c>
      <c r="L522" t="s">
        <v>446</v>
      </c>
      <c r="M522" t="s">
        <v>1921</v>
      </c>
      <c r="N522" t="s">
        <v>1922</v>
      </c>
      <c r="O522" t="s">
        <v>26</v>
      </c>
      <c r="P522" t="s">
        <v>1923</v>
      </c>
      <c r="Q522" t="s">
        <v>34</v>
      </c>
    </row>
    <row r="523" spans="1:17" x14ac:dyDescent="0.25">
      <c r="A523" t="s">
        <v>1884</v>
      </c>
      <c r="B523" t="s">
        <v>1612</v>
      </c>
      <c r="C523" t="s">
        <v>19</v>
      </c>
      <c r="D523" t="s">
        <v>229</v>
      </c>
      <c r="E523" t="s">
        <v>171</v>
      </c>
      <c r="F523" t="s">
        <v>83</v>
      </c>
      <c r="G523">
        <v>28202</v>
      </c>
      <c r="H523">
        <v>245</v>
      </c>
      <c r="I523">
        <v>25</v>
      </c>
      <c r="J523" s="4">
        <f>MAX(Inventory[[#This Row],[Qty On Hand]]-Inventory[[#This Row],[Qty Allocated]],0)</f>
        <v>220</v>
      </c>
      <c r="K523">
        <v>396</v>
      </c>
      <c r="L523" t="s">
        <v>1924</v>
      </c>
      <c r="M523" t="s">
        <v>1925</v>
      </c>
      <c r="N523" t="s">
        <v>218</v>
      </c>
      <c r="O523" t="s">
        <v>26</v>
      </c>
      <c r="P523" t="s">
        <v>269</v>
      </c>
      <c r="Q523" t="s">
        <v>34</v>
      </c>
    </row>
    <row r="524" spans="1:17" x14ac:dyDescent="0.25">
      <c r="A524" t="s">
        <v>1884</v>
      </c>
      <c r="B524" t="s">
        <v>1612</v>
      </c>
      <c r="C524" t="s">
        <v>19</v>
      </c>
      <c r="D524" t="s">
        <v>229</v>
      </c>
      <c r="E524" t="s">
        <v>171</v>
      </c>
      <c r="F524" t="s">
        <v>83</v>
      </c>
      <c r="G524">
        <v>28202</v>
      </c>
      <c r="H524">
        <v>709</v>
      </c>
      <c r="I524">
        <v>55</v>
      </c>
      <c r="J524" s="4">
        <f>MAX(Inventory[[#This Row],[Qty On Hand]]-Inventory[[#This Row],[Qty Allocated]],0)</f>
        <v>654</v>
      </c>
      <c r="K524">
        <v>173</v>
      </c>
      <c r="L524" t="s">
        <v>1926</v>
      </c>
      <c r="M524" t="s">
        <v>1927</v>
      </c>
      <c r="N524" t="s">
        <v>1928</v>
      </c>
      <c r="O524" t="s">
        <v>26</v>
      </c>
      <c r="P524" t="s">
        <v>1929</v>
      </c>
      <c r="Q524" t="s">
        <v>34</v>
      </c>
    </row>
    <row r="525" spans="1:17" x14ac:dyDescent="0.25">
      <c r="A525" t="s">
        <v>1884</v>
      </c>
      <c r="B525" t="s">
        <v>1612</v>
      </c>
      <c r="C525" t="s">
        <v>19</v>
      </c>
      <c r="D525" t="s">
        <v>229</v>
      </c>
      <c r="E525" t="s">
        <v>171</v>
      </c>
      <c r="F525" t="s">
        <v>83</v>
      </c>
      <c r="G525">
        <v>28202</v>
      </c>
      <c r="H525">
        <v>878</v>
      </c>
      <c r="I525">
        <v>22</v>
      </c>
      <c r="J525" s="4">
        <f>MAX(Inventory[[#This Row],[Qty On Hand]]-Inventory[[#This Row],[Qty Allocated]],0)</f>
        <v>856</v>
      </c>
      <c r="K525">
        <v>182</v>
      </c>
      <c r="L525" t="s">
        <v>1930</v>
      </c>
      <c r="M525" t="s">
        <v>1931</v>
      </c>
      <c r="N525" t="s">
        <v>1932</v>
      </c>
      <c r="O525" t="s">
        <v>26</v>
      </c>
      <c r="P525" t="s">
        <v>1933</v>
      </c>
      <c r="Q525" t="s">
        <v>92</v>
      </c>
    </row>
    <row r="526" spans="1:17" x14ac:dyDescent="0.25">
      <c r="A526" t="s">
        <v>1884</v>
      </c>
      <c r="B526" t="s">
        <v>1612</v>
      </c>
      <c r="C526" t="s">
        <v>19</v>
      </c>
      <c r="D526" t="s">
        <v>229</v>
      </c>
      <c r="E526" t="s">
        <v>171</v>
      </c>
      <c r="F526" t="s">
        <v>83</v>
      </c>
      <c r="G526">
        <v>28202</v>
      </c>
      <c r="H526">
        <v>873</v>
      </c>
      <c r="I526">
        <v>92</v>
      </c>
      <c r="J526" s="4">
        <f>MAX(Inventory[[#This Row],[Qty On Hand]]-Inventory[[#This Row],[Qty Allocated]],0)</f>
        <v>781</v>
      </c>
      <c r="K526">
        <v>161</v>
      </c>
      <c r="L526" t="s">
        <v>1002</v>
      </c>
      <c r="M526" t="s">
        <v>1934</v>
      </c>
      <c r="N526" t="s">
        <v>1935</v>
      </c>
      <c r="O526" t="s">
        <v>26</v>
      </c>
      <c r="P526" t="s">
        <v>1936</v>
      </c>
      <c r="Q526" t="s">
        <v>34</v>
      </c>
    </row>
    <row r="527" spans="1:17" x14ac:dyDescent="0.25">
      <c r="A527" t="s">
        <v>1884</v>
      </c>
      <c r="B527" t="s">
        <v>1612</v>
      </c>
      <c r="C527" t="s">
        <v>19</v>
      </c>
      <c r="D527" t="s">
        <v>229</v>
      </c>
      <c r="E527" t="s">
        <v>171</v>
      </c>
      <c r="F527" t="s">
        <v>83</v>
      </c>
      <c r="G527">
        <v>28202</v>
      </c>
      <c r="H527">
        <v>358</v>
      </c>
      <c r="I527">
        <v>18</v>
      </c>
      <c r="J527" s="4">
        <f>MAX(Inventory[[#This Row],[Qty On Hand]]-Inventory[[#This Row],[Qty Allocated]],0)</f>
        <v>340</v>
      </c>
      <c r="K527">
        <v>122</v>
      </c>
      <c r="L527" t="s">
        <v>1937</v>
      </c>
      <c r="M527" t="s">
        <v>1938</v>
      </c>
      <c r="N527" t="s">
        <v>956</v>
      </c>
      <c r="O527" t="s">
        <v>48</v>
      </c>
      <c r="P527" t="s">
        <v>1939</v>
      </c>
      <c r="Q527" t="s">
        <v>34</v>
      </c>
    </row>
    <row r="528" spans="1:17" x14ac:dyDescent="0.25">
      <c r="A528" t="s">
        <v>1884</v>
      </c>
      <c r="B528" t="s">
        <v>1612</v>
      </c>
      <c r="C528" t="s">
        <v>19</v>
      </c>
      <c r="D528" t="s">
        <v>229</v>
      </c>
      <c r="E528" t="s">
        <v>171</v>
      </c>
      <c r="F528" t="s">
        <v>83</v>
      </c>
      <c r="G528">
        <v>28202</v>
      </c>
      <c r="H528">
        <v>766</v>
      </c>
      <c r="I528">
        <v>45</v>
      </c>
      <c r="J528" s="4">
        <f>MAX(Inventory[[#This Row],[Qty On Hand]]-Inventory[[#This Row],[Qty Allocated]],0)</f>
        <v>721</v>
      </c>
      <c r="K528">
        <v>299</v>
      </c>
      <c r="L528" t="s">
        <v>1940</v>
      </c>
      <c r="M528" t="s">
        <v>1941</v>
      </c>
      <c r="N528" t="s">
        <v>1942</v>
      </c>
      <c r="O528" t="s">
        <v>26</v>
      </c>
      <c r="P528" t="s">
        <v>1943</v>
      </c>
      <c r="Q528" t="s">
        <v>28</v>
      </c>
    </row>
    <row r="529" spans="1:17" x14ac:dyDescent="0.25">
      <c r="A529" t="s">
        <v>1944</v>
      </c>
      <c r="B529" t="s">
        <v>1612</v>
      </c>
      <c r="C529" t="s">
        <v>19</v>
      </c>
      <c r="D529" t="s">
        <v>434</v>
      </c>
      <c r="E529" t="s">
        <v>21</v>
      </c>
      <c r="F529" t="s">
        <v>22</v>
      </c>
      <c r="G529">
        <v>94102</v>
      </c>
      <c r="H529">
        <v>7</v>
      </c>
      <c r="I529">
        <v>2</v>
      </c>
      <c r="J529" s="4">
        <f>MAX(Inventory[[#This Row],[Qty On Hand]]-Inventory[[#This Row],[Qty Allocated]],0)</f>
        <v>5</v>
      </c>
      <c r="K529">
        <v>563</v>
      </c>
      <c r="L529" t="s">
        <v>1945</v>
      </c>
      <c r="M529" t="s">
        <v>1946</v>
      </c>
      <c r="N529" t="s">
        <v>1947</v>
      </c>
      <c r="O529" t="s">
        <v>26</v>
      </c>
      <c r="P529" t="s">
        <v>1948</v>
      </c>
      <c r="Q529" t="s">
        <v>34</v>
      </c>
    </row>
    <row r="530" spans="1:17" x14ac:dyDescent="0.25">
      <c r="A530" t="s">
        <v>1944</v>
      </c>
      <c r="B530" t="s">
        <v>1612</v>
      </c>
      <c r="C530" t="s">
        <v>19</v>
      </c>
      <c r="D530" t="s">
        <v>434</v>
      </c>
      <c r="E530" t="s">
        <v>21</v>
      </c>
      <c r="F530" t="s">
        <v>29</v>
      </c>
      <c r="G530">
        <v>98072</v>
      </c>
      <c r="H530">
        <v>2542</v>
      </c>
      <c r="I530">
        <v>95</v>
      </c>
      <c r="J530" s="4">
        <f>MAX(Inventory[[#This Row],[Qty On Hand]]-Inventory[[#This Row],[Qty Allocated]],0)</f>
        <v>2447</v>
      </c>
      <c r="K530">
        <v>418</v>
      </c>
      <c r="L530" t="s">
        <v>1949</v>
      </c>
      <c r="M530" t="s">
        <v>1950</v>
      </c>
      <c r="N530" t="s">
        <v>1951</v>
      </c>
      <c r="O530" t="s">
        <v>26</v>
      </c>
      <c r="P530" t="s">
        <v>1952</v>
      </c>
      <c r="Q530" t="s">
        <v>92</v>
      </c>
    </row>
    <row r="531" spans="1:17" x14ac:dyDescent="0.25">
      <c r="A531" t="s">
        <v>1944</v>
      </c>
      <c r="B531" t="s">
        <v>1612</v>
      </c>
      <c r="C531" t="s">
        <v>19</v>
      </c>
      <c r="D531" t="s">
        <v>434</v>
      </c>
      <c r="E531" t="s">
        <v>21</v>
      </c>
      <c r="F531" t="s">
        <v>35</v>
      </c>
      <c r="G531">
        <v>75201</v>
      </c>
      <c r="H531">
        <v>750</v>
      </c>
      <c r="I531">
        <v>66</v>
      </c>
      <c r="J531" s="4">
        <f>MAX(Inventory[[#This Row],[Qty On Hand]]-Inventory[[#This Row],[Qty Allocated]],0)</f>
        <v>684</v>
      </c>
      <c r="K531">
        <v>248</v>
      </c>
      <c r="L531" t="s">
        <v>1953</v>
      </c>
      <c r="M531" t="s">
        <v>615</v>
      </c>
      <c r="N531" t="s">
        <v>1954</v>
      </c>
      <c r="O531" t="s">
        <v>26</v>
      </c>
      <c r="P531" t="s">
        <v>1955</v>
      </c>
      <c r="Q531" t="s">
        <v>92</v>
      </c>
    </row>
    <row r="532" spans="1:17" x14ac:dyDescent="0.25">
      <c r="A532" t="s">
        <v>1944</v>
      </c>
      <c r="B532" t="s">
        <v>1612</v>
      </c>
      <c r="C532" t="s">
        <v>19</v>
      </c>
      <c r="D532" t="s">
        <v>434</v>
      </c>
      <c r="E532" t="s">
        <v>21</v>
      </c>
      <c r="F532" t="s">
        <v>35</v>
      </c>
      <c r="G532">
        <v>75201</v>
      </c>
      <c r="H532">
        <v>406</v>
      </c>
      <c r="I532">
        <v>48</v>
      </c>
      <c r="J532" s="4">
        <f>MAX(Inventory[[#This Row],[Qty On Hand]]-Inventory[[#This Row],[Qty Allocated]],0)</f>
        <v>358</v>
      </c>
      <c r="K532">
        <v>135</v>
      </c>
      <c r="L532" t="s">
        <v>1956</v>
      </c>
      <c r="M532" t="s">
        <v>1957</v>
      </c>
      <c r="N532" t="s">
        <v>206</v>
      </c>
      <c r="O532" t="s">
        <v>26</v>
      </c>
      <c r="P532" t="s">
        <v>108</v>
      </c>
      <c r="Q532" t="s">
        <v>40</v>
      </c>
    </row>
    <row r="533" spans="1:17" x14ac:dyDescent="0.25">
      <c r="A533" t="s">
        <v>1944</v>
      </c>
      <c r="B533" t="s">
        <v>1612</v>
      </c>
      <c r="C533" t="s">
        <v>19</v>
      </c>
      <c r="D533" t="s">
        <v>434</v>
      </c>
      <c r="E533" t="s">
        <v>21</v>
      </c>
      <c r="F533" t="s">
        <v>35</v>
      </c>
      <c r="G533">
        <v>75201</v>
      </c>
      <c r="H533">
        <v>591</v>
      </c>
      <c r="I533">
        <v>11</v>
      </c>
      <c r="J533" s="4">
        <f>MAX(Inventory[[#This Row],[Qty On Hand]]-Inventory[[#This Row],[Qty Allocated]],0)</f>
        <v>580</v>
      </c>
      <c r="K533">
        <v>192</v>
      </c>
      <c r="L533" t="s">
        <v>1958</v>
      </c>
      <c r="M533" t="s">
        <v>1959</v>
      </c>
      <c r="N533" t="s">
        <v>1031</v>
      </c>
      <c r="O533" t="s">
        <v>26</v>
      </c>
      <c r="P533" t="s">
        <v>1960</v>
      </c>
      <c r="Q533" t="s">
        <v>28</v>
      </c>
    </row>
    <row r="534" spans="1:17" x14ac:dyDescent="0.25">
      <c r="A534" t="s">
        <v>1944</v>
      </c>
      <c r="B534" t="s">
        <v>1612</v>
      </c>
      <c r="C534" t="s">
        <v>19</v>
      </c>
      <c r="D534" t="s">
        <v>434</v>
      </c>
      <c r="E534" t="s">
        <v>21</v>
      </c>
      <c r="F534" t="s">
        <v>35</v>
      </c>
      <c r="G534">
        <v>75201</v>
      </c>
      <c r="H534">
        <v>461</v>
      </c>
      <c r="I534">
        <v>42</v>
      </c>
      <c r="J534" s="4">
        <f>MAX(Inventory[[#This Row],[Qty On Hand]]-Inventory[[#This Row],[Qty Allocated]],0)</f>
        <v>419</v>
      </c>
      <c r="K534">
        <v>198</v>
      </c>
      <c r="L534" t="s">
        <v>1961</v>
      </c>
      <c r="M534" t="s">
        <v>1962</v>
      </c>
      <c r="N534" t="s">
        <v>1963</v>
      </c>
      <c r="O534" t="s">
        <v>26</v>
      </c>
      <c r="P534" t="s">
        <v>1964</v>
      </c>
      <c r="Q534" t="s">
        <v>40</v>
      </c>
    </row>
    <row r="535" spans="1:17" x14ac:dyDescent="0.25">
      <c r="A535" t="s">
        <v>1944</v>
      </c>
      <c r="B535" t="s">
        <v>1612</v>
      </c>
      <c r="C535" t="s">
        <v>19</v>
      </c>
      <c r="D535" t="s">
        <v>434</v>
      </c>
      <c r="E535" t="s">
        <v>21</v>
      </c>
      <c r="F535" t="s">
        <v>62</v>
      </c>
      <c r="G535">
        <v>63101</v>
      </c>
      <c r="H535">
        <v>676</v>
      </c>
      <c r="I535">
        <v>55</v>
      </c>
      <c r="J535" s="4">
        <f>MAX(Inventory[[#This Row],[Qty On Hand]]-Inventory[[#This Row],[Qty Allocated]],0)</f>
        <v>621</v>
      </c>
      <c r="K535">
        <v>321</v>
      </c>
      <c r="L535" t="s">
        <v>1965</v>
      </c>
      <c r="M535" t="s">
        <v>1966</v>
      </c>
      <c r="N535" t="s">
        <v>397</v>
      </c>
      <c r="O535" t="s">
        <v>48</v>
      </c>
      <c r="P535" t="s">
        <v>891</v>
      </c>
      <c r="Q535" t="s">
        <v>92</v>
      </c>
    </row>
    <row r="536" spans="1:17" x14ac:dyDescent="0.25">
      <c r="A536" t="s">
        <v>1944</v>
      </c>
      <c r="B536" t="s">
        <v>1612</v>
      </c>
      <c r="C536" t="s">
        <v>19</v>
      </c>
      <c r="D536" t="s">
        <v>434</v>
      </c>
      <c r="E536" t="s">
        <v>21</v>
      </c>
      <c r="F536" t="s">
        <v>62</v>
      </c>
      <c r="G536">
        <v>63101</v>
      </c>
      <c r="H536">
        <v>615</v>
      </c>
      <c r="I536">
        <v>65</v>
      </c>
      <c r="J536" s="4">
        <f>MAX(Inventory[[#This Row],[Qty On Hand]]-Inventory[[#This Row],[Qty Allocated]],0)</f>
        <v>550</v>
      </c>
      <c r="K536">
        <v>184</v>
      </c>
      <c r="L536" t="s">
        <v>1967</v>
      </c>
      <c r="M536" t="s">
        <v>1968</v>
      </c>
      <c r="N536" t="s">
        <v>1969</v>
      </c>
      <c r="O536" t="s">
        <v>26</v>
      </c>
      <c r="P536" t="s">
        <v>432</v>
      </c>
      <c r="Q536" t="s">
        <v>34</v>
      </c>
    </row>
    <row r="537" spans="1:17" x14ac:dyDescent="0.25">
      <c r="A537" t="s">
        <v>1944</v>
      </c>
      <c r="B537" t="s">
        <v>1612</v>
      </c>
      <c r="C537" t="s">
        <v>19</v>
      </c>
      <c r="D537" t="s">
        <v>434</v>
      </c>
      <c r="E537" t="s">
        <v>21</v>
      </c>
      <c r="F537" t="s">
        <v>62</v>
      </c>
      <c r="G537">
        <v>63101</v>
      </c>
      <c r="H537">
        <v>206</v>
      </c>
      <c r="I537">
        <v>78</v>
      </c>
      <c r="J537" s="4">
        <f>MAX(Inventory[[#This Row],[Qty On Hand]]-Inventory[[#This Row],[Qty Allocated]],0)</f>
        <v>128</v>
      </c>
      <c r="K537">
        <v>101</v>
      </c>
      <c r="L537" t="s">
        <v>383</v>
      </c>
      <c r="M537" t="s">
        <v>1970</v>
      </c>
      <c r="N537" t="s">
        <v>1971</v>
      </c>
      <c r="O537" t="s">
        <v>26</v>
      </c>
      <c r="P537" t="s">
        <v>1972</v>
      </c>
      <c r="Q537" t="s">
        <v>92</v>
      </c>
    </row>
    <row r="538" spans="1:17" x14ac:dyDescent="0.25">
      <c r="A538" t="s">
        <v>1944</v>
      </c>
      <c r="B538" t="s">
        <v>1612</v>
      </c>
      <c r="C538" t="s">
        <v>19</v>
      </c>
      <c r="D538" t="s">
        <v>434</v>
      </c>
      <c r="E538" t="s">
        <v>21</v>
      </c>
      <c r="F538" t="s">
        <v>62</v>
      </c>
      <c r="G538">
        <v>63101</v>
      </c>
      <c r="H538">
        <v>831</v>
      </c>
      <c r="I538">
        <v>99</v>
      </c>
      <c r="J538" s="4">
        <f>MAX(Inventory[[#This Row],[Qty On Hand]]-Inventory[[#This Row],[Qty Allocated]],0)</f>
        <v>732</v>
      </c>
      <c r="K538">
        <v>100</v>
      </c>
      <c r="L538" t="s">
        <v>1973</v>
      </c>
      <c r="M538" t="s">
        <v>1974</v>
      </c>
      <c r="N538" t="s">
        <v>1279</v>
      </c>
      <c r="O538" t="s">
        <v>26</v>
      </c>
      <c r="P538" t="s">
        <v>1975</v>
      </c>
      <c r="Q538" t="s">
        <v>92</v>
      </c>
    </row>
    <row r="539" spans="1:17" x14ac:dyDescent="0.25">
      <c r="A539" t="s">
        <v>1944</v>
      </c>
      <c r="B539" t="s">
        <v>1612</v>
      </c>
      <c r="C539" t="s">
        <v>19</v>
      </c>
      <c r="D539" t="s">
        <v>434</v>
      </c>
      <c r="E539" t="s">
        <v>21</v>
      </c>
      <c r="F539" t="s">
        <v>83</v>
      </c>
      <c r="G539">
        <v>28202</v>
      </c>
      <c r="H539">
        <v>527</v>
      </c>
      <c r="I539">
        <v>15</v>
      </c>
      <c r="J539" s="4">
        <f>MAX(Inventory[[#This Row],[Qty On Hand]]-Inventory[[#This Row],[Qty Allocated]],0)</f>
        <v>512</v>
      </c>
      <c r="K539">
        <v>319</v>
      </c>
      <c r="L539" t="s">
        <v>1976</v>
      </c>
      <c r="M539" t="s">
        <v>1977</v>
      </c>
      <c r="N539" t="s">
        <v>1978</v>
      </c>
      <c r="O539" t="s">
        <v>26</v>
      </c>
      <c r="P539" t="s">
        <v>1979</v>
      </c>
      <c r="Q539" t="s">
        <v>28</v>
      </c>
    </row>
    <row r="540" spans="1:17" x14ac:dyDescent="0.25">
      <c r="A540" t="s">
        <v>1944</v>
      </c>
      <c r="B540" t="s">
        <v>1612</v>
      </c>
      <c r="C540" t="s">
        <v>19</v>
      </c>
      <c r="D540" t="s">
        <v>434</v>
      </c>
      <c r="E540" t="s">
        <v>21</v>
      </c>
      <c r="F540" t="s">
        <v>83</v>
      </c>
      <c r="G540">
        <v>28202</v>
      </c>
      <c r="H540">
        <v>511</v>
      </c>
      <c r="I540">
        <v>35</v>
      </c>
      <c r="J540" s="4">
        <f>MAX(Inventory[[#This Row],[Qty On Hand]]-Inventory[[#This Row],[Qty Allocated]],0)</f>
        <v>476</v>
      </c>
      <c r="K540">
        <v>152</v>
      </c>
      <c r="L540" t="s">
        <v>1980</v>
      </c>
      <c r="M540" t="s">
        <v>1981</v>
      </c>
      <c r="N540" t="s">
        <v>1982</v>
      </c>
      <c r="O540" t="s">
        <v>48</v>
      </c>
      <c r="P540" t="s">
        <v>779</v>
      </c>
      <c r="Q540" t="s">
        <v>92</v>
      </c>
    </row>
    <row r="541" spans="1:17" x14ac:dyDescent="0.25">
      <c r="A541" t="s">
        <v>1944</v>
      </c>
      <c r="B541" t="s">
        <v>1612</v>
      </c>
      <c r="C541" t="s">
        <v>19</v>
      </c>
      <c r="D541" t="s">
        <v>434</v>
      </c>
      <c r="E541" t="s">
        <v>21</v>
      </c>
      <c r="F541" t="s">
        <v>83</v>
      </c>
      <c r="G541">
        <v>28202</v>
      </c>
      <c r="H541">
        <v>943</v>
      </c>
      <c r="I541">
        <v>55</v>
      </c>
      <c r="J541" s="4">
        <f>MAX(Inventory[[#This Row],[Qty On Hand]]-Inventory[[#This Row],[Qty Allocated]],0)</f>
        <v>888</v>
      </c>
      <c r="K541">
        <v>206</v>
      </c>
      <c r="L541" t="s">
        <v>1983</v>
      </c>
      <c r="M541" t="s">
        <v>1984</v>
      </c>
      <c r="N541" t="s">
        <v>1985</v>
      </c>
      <c r="O541" t="s">
        <v>26</v>
      </c>
      <c r="P541" t="s">
        <v>1986</v>
      </c>
      <c r="Q541" t="s">
        <v>34</v>
      </c>
    </row>
    <row r="542" spans="1:17" x14ac:dyDescent="0.25">
      <c r="A542" t="s">
        <v>1944</v>
      </c>
      <c r="B542" t="s">
        <v>1612</v>
      </c>
      <c r="C542" t="s">
        <v>19</v>
      </c>
      <c r="D542" t="s">
        <v>434</v>
      </c>
      <c r="E542" t="s">
        <v>21</v>
      </c>
      <c r="F542" t="s">
        <v>83</v>
      </c>
      <c r="G542">
        <v>28202</v>
      </c>
      <c r="H542">
        <v>815</v>
      </c>
      <c r="I542">
        <v>49</v>
      </c>
      <c r="J542" s="4">
        <f>MAX(Inventory[[#This Row],[Qty On Hand]]-Inventory[[#This Row],[Qty Allocated]],0)</f>
        <v>766</v>
      </c>
      <c r="K542">
        <v>190</v>
      </c>
      <c r="L542" t="s">
        <v>1987</v>
      </c>
      <c r="M542" t="s">
        <v>1988</v>
      </c>
      <c r="N542" t="s">
        <v>1989</v>
      </c>
      <c r="O542" t="s">
        <v>26</v>
      </c>
      <c r="P542" t="s">
        <v>1191</v>
      </c>
      <c r="Q542" t="s">
        <v>28</v>
      </c>
    </row>
    <row r="543" spans="1:17" x14ac:dyDescent="0.25">
      <c r="A543" t="s">
        <v>1990</v>
      </c>
      <c r="B543" t="s">
        <v>1612</v>
      </c>
      <c r="C543" t="s">
        <v>19</v>
      </c>
      <c r="D543" t="s">
        <v>434</v>
      </c>
      <c r="E543" t="s">
        <v>122</v>
      </c>
      <c r="F543" t="s">
        <v>35</v>
      </c>
      <c r="G543">
        <v>75201</v>
      </c>
      <c r="H543">
        <v>357</v>
      </c>
      <c r="I543">
        <v>24</v>
      </c>
      <c r="J543" s="4">
        <f>MAX(Inventory[[#This Row],[Qty On Hand]]-Inventory[[#This Row],[Qty Allocated]],0)</f>
        <v>333</v>
      </c>
      <c r="K543">
        <v>183</v>
      </c>
      <c r="L543" t="s">
        <v>395</v>
      </c>
      <c r="M543" t="s">
        <v>1991</v>
      </c>
      <c r="N543" t="s">
        <v>1992</v>
      </c>
      <c r="O543" t="s">
        <v>26</v>
      </c>
      <c r="P543" t="s">
        <v>1993</v>
      </c>
      <c r="Q543" t="s">
        <v>28</v>
      </c>
    </row>
    <row r="544" spans="1:17" x14ac:dyDescent="0.25">
      <c r="A544" t="s">
        <v>1990</v>
      </c>
      <c r="B544" t="s">
        <v>1612</v>
      </c>
      <c r="C544" t="s">
        <v>19</v>
      </c>
      <c r="D544" t="s">
        <v>434</v>
      </c>
      <c r="E544" t="s">
        <v>122</v>
      </c>
      <c r="F544" t="s">
        <v>35</v>
      </c>
      <c r="G544">
        <v>75201</v>
      </c>
      <c r="H544">
        <v>949</v>
      </c>
      <c r="I544">
        <v>96</v>
      </c>
      <c r="J544" s="4">
        <f>MAX(Inventory[[#This Row],[Qty On Hand]]-Inventory[[#This Row],[Qty Allocated]],0)</f>
        <v>853</v>
      </c>
      <c r="K544">
        <v>385</v>
      </c>
      <c r="L544" t="s">
        <v>282</v>
      </c>
      <c r="M544" t="s">
        <v>1994</v>
      </c>
      <c r="N544" t="s">
        <v>1276</v>
      </c>
      <c r="O544" t="s">
        <v>26</v>
      </c>
      <c r="P544" t="s">
        <v>1964</v>
      </c>
      <c r="Q544" t="s">
        <v>34</v>
      </c>
    </row>
    <row r="545" spans="1:17" x14ac:dyDescent="0.25">
      <c r="A545" t="s">
        <v>1990</v>
      </c>
      <c r="B545" t="s">
        <v>1612</v>
      </c>
      <c r="C545" t="s">
        <v>19</v>
      </c>
      <c r="D545" t="s">
        <v>434</v>
      </c>
      <c r="E545" t="s">
        <v>122</v>
      </c>
      <c r="F545" t="s">
        <v>35</v>
      </c>
      <c r="G545">
        <v>75201</v>
      </c>
      <c r="H545">
        <v>708</v>
      </c>
      <c r="I545">
        <v>83</v>
      </c>
      <c r="J545" s="4">
        <f>MAX(Inventory[[#This Row],[Qty On Hand]]-Inventory[[#This Row],[Qty Allocated]],0)</f>
        <v>625</v>
      </c>
      <c r="K545">
        <v>342</v>
      </c>
      <c r="L545" t="s">
        <v>1995</v>
      </c>
      <c r="M545" t="s">
        <v>1996</v>
      </c>
      <c r="N545" t="s">
        <v>1954</v>
      </c>
      <c r="O545" t="s">
        <v>26</v>
      </c>
      <c r="P545" t="s">
        <v>1997</v>
      </c>
      <c r="Q545" t="s">
        <v>28</v>
      </c>
    </row>
    <row r="546" spans="1:17" x14ac:dyDescent="0.25">
      <c r="A546" t="s">
        <v>1990</v>
      </c>
      <c r="B546" t="s">
        <v>1612</v>
      </c>
      <c r="C546" t="s">
        <v>19</v>
      </c>
      <c r="D546" t="s">
        <v>434</v>
      </c>
      <c r="E546" t="s">
        <v>122</v>
      </c>
      <c r="F546" t="s">
        <v>62</v>
      </c>
      <c r="G546">
        <v>63101</v>
      </c>
      <c r="H546">
        <v>941</v>
      </c>
      <c r="I546">
        <v>56</v>
      </c>
      <c r="J546" s="4">
        <f>MAX(Inventory[[#This Row],[Qty On Hand]]-Inventory[[#This Row],[Qty Allocated]],0)</f>
        <v>885</v>
      </c>
      <c r="K546">
        <v>215</v>
      </c>
      <c r="L546" t="s">
        <v>1998</v>
      </c>
      <c r="M546" t="s">
        <v>1999</v>
      </c>
      <c r="N546" t="s">
        <v>1311</v>
      </c>
      <c r="O546" t="s">
        <v>26</v>
      </c>
      <c r="P546" t="s">
        <v>2000</v>
      </c>
      <c r="Q546" t="s">
        <v>34</v>
      </c>
    </row>
    <row r="547" spans="1:17" x14ac:dyDescent="0.25">
      <c r="A547" t="s">
        <v>1990</v>
      </c>
      <c r="B547" t="s">
        <v>1612</v>
      </c>
      <c r="C547" t="s">
        <v>19</v>
      </c>
      <c r="D547" t="s">
        <v>434</v>
      </c>
      <c r="E547" t="s">
        <v>122</v>
      </c>
      <c r="F547" t="s">
        <v>62</v>
      </c>
      <c r="G547">
        <v>63101</v>
      </c>
      <c r="H547">
        <v>910</v>
      </c>
      <c r="I547">
        <v>17</v>
      </c>
      <c r="J547" s="4">
        <f>MAX(Inventory[[#This Row],[Qty On Hand]]-Inventory[[#This Row],[Qty Allocated]],0)</f>
        <v>893</v>
      </c>
      <c r="K547">
        <v>244</v>
      </c>
      <c r="L547" t="s">
        <v>2001</v>
      </c>
      <c r="M547" t="s">
        <v>2002</v>
      </c>
      <c r="N547" t="s">
        <v>767</v>
      </c>
      <c r="O547" t="s">
        <v>26</v>
      </c>
      <c r="P547" t="s">
        <v>2003</v>
      </c>
      <c r="Q547" t="s">
        <v>92</v>
      </c>
    </row>
    <row r="548" spans="1:17" x14ac:dyDescent="0.25">
      <c r="A548" t="s">
        <v>1990</v>
      </c>
      <c r="B548" t="s">
        <v>1612</v>
      </c>
      <c r="C548" t="s">
        <v>19</v>
      </c>
      <c r="D548" t="s">
        <v>434</v>
      </c>
      <c r="E548" t="s">
        <v>122</v>
      </c>
      <c r="F548" t="s">
        <v>62</v>
      </c>
      <c r="G548">
        <v>63101</v>
      </c>
      <c r="H548">
        <v>432</v>
      </c>
      <c r="I548">
        <v>24</v>
      </c>
      <c r="J548" s="4">
        <f>MAX(Inventory[[#This Row],[Qty On Hand]]-Inventory[[#This Row],[Qty Allocated]],0)</f>
        <v>408</v>
      </c>
      <c r="K548">
        <v>299</v>
      </c>
      <c r="L548" t="s">
        <v>2004</v>
      </c>
      <c r="M548" t="s">
        <v>2005</v>
      </c>
      <c r="N548" t="s">
        <v>2006</v>
      </c>
      <c r="O548" t="s">
        <v>26</v>
      </c>
      <c r="P548" t="s">
        <v>2007</v>
      </c>
      <c r="Q548" t="s">
        <v>40</v>
      </c>
    </row>
    <row r="549" spans="1:17" x14ac:dyDescent="0.25">
      <c r="A549" t="s">
        <v>1990</v>
      </c>
      <c r="B549" t="s">
        <v>1612</v>
      </c>
      <c r="C549" t="s">
        <v>19</v>
      </c>
      <c r="D549" t="s">
        <v>434</v>
      </c>
      <c r="E549" t="s">
        <v>122</v>
      </c>
      <c r="F549" t="s">
        <v>62</v>
      </c>
      <c r="G549">
        <v>63101</v>
      </c>
      <c r="H549">
        <v>506</v>
      </c>
      <c r="I549">
        <v>79</v>
      </c>
      <c r="J549" s="4">
        <f>MAX(Inventory[[#This Row],[Qty On Hand]]-Inventory[[#This Row],[Qty Allocated]],0)</f>
        <v>427</v>
      </c>
      <c r="K549">
        <v>241</v>
      </c>
      <c r="L549" t="s">
        <v>2008</v>
      </c>
      <c r="M549" t="s">
        <v>2009</v>
      </c>
      <c r="N549" t="s">
        <v>2010</v>
      </c>
      <c r="O549" t="s">
        <v>26</v>
      </c>
      <c r="P549" t="s">
        <v>2011</v>
      </c>
      <c r="Q549" t="s">
        <v>40</v>
      </c>
    </row>
    <row r="550" spans="1:17" x14ac:dyDescent="0.25">
      <c r="A550" t="s">
        <v>1990</v>
      </c>
      <c r="B550" t="s">
        <v>1612</v>
      </c>
      <c r="C550" t="s">
        <v>19</v>
      </c>
      <c r="D550" t="s">
        <v>434</v>
      </c>
      <c r="E550" t="s">
        <v>122</v>
      </c>
      <c r="F550" t="s">
        <v>62</v>
      </c>
      <c r="G550">
        <v>63101</v>
      </c>
      <c r="H550">
        <v>379</v>
      </c>
      <c r="I550">
        <v>17</v>
      </c>
      <c r="J550" s="4">
        <f>MAX(Inventory[[#This Row],[Qty On Hand]]-Inventory[[#This Row],[Qty Allocated]],0)</f>
        <v>362</v>
      </c>
      <c r="K550">
        <v>389</v>
      </c>
      <c r="L550" t="s">
        <v>2012</v>
      </c>
      <c r="M550" t="s">
        <v>2013</v>
      </c>
      <c r="N550" t="s">
        <v>2014</v>
      </c>
      <c r="O550" t="s">
        <v>26</v>
      </c>
      <c r="P550" t="s">
        <v>2015</v>
      </c>
      <c r="Q550" t="s">
        <v>28</v>
      </c>
    </row>
    <row r="551" spans="1:17" x14ac:dyDescent="0.25">
      <c r="A551" t="s">
        <v>1990</v>
      </c>
      <c r="B551" t="s">
        <v>1612</v>
      </c>
      <c r="C551" t="s">
        <v>19</v>
      </c>
      <c r="D551" t="s">
        <v>434</v>
      </c>
      <c r="E551" t="s">
        <v>122</v>
      </c>
      <c r="F551" t="s">
        <v>83</v>
      </c>
      <c r="G551">
        <v>28202</v>
      </c>
      <c r="H551">
        <v>539</v>
      </c>
      <c r="I551">
        <v>14</v>
      </c>
      <c r="J551" s="4">
        <f>MAX(Inventory[[#This Row],[Qty On Hand]]-Inventory[[#This Row],[Qty Allocated]],0)</f>
        <v>525</v>
      </c>
      <c r="K551">
        <v>308</v>
      </c>
      <c r="L551" t="s">
        <v>2016</v>
      </c>
      <c r="M551" t="s">
        <v>2017</v>
      </c>
      <c r="N551" t="s">
        <v>1077</v>
      </c>
      <c r="O551" t="s">
        <v>26</v>
      </c>
      <c r="P551" t="s">
        <v>223</v>
      </c>
      <c r="Q551" t="s">
        <v>28</v>
      </c>
    </row>
    <row r="552" spans="1:17" x14ac:dyDescent="0.25">
      <c r="A552" t="s">
        <v>1990</v>
      </c>
      <c r="B552" t="s">
        <v>1612</v>
      </c>
      <c r="C552" t="s">
        <v>19</v>
      </c>
      <c r="D552" t="s">
        <v>434</v>
      </c>
      <c r="E552" t="s">
        <v>122</v>
      </c>
      <c r="F552" t="s">
        <v>83</v>
      </c>
      <c r="G552">
        <v>28202</v>
      </c>
      <c r="H552">
        <v>790</v>
      </c>
      <c r="I552">
        <v>53</v>
      </c>
      <c r="J552" s="4">
        <f>MAX(Inventory[[#This Row],[Qty On Hand]]-Inventory[[#This Row],[Qty Allocated]],0)</f>
        <v>737</v>
      </c>
      <c r="K552">
        <v>318</v>
      </c>
      <c r="L552" t="s">
        <v>2018</v>
      </c>
      <c r="M552" t="s">
        <v>2019</v>
      </c>
      <c r="N552" t="s">
        <v>1213</v>
      </c>
      <c r="O552" t="s">
        <v>26</v>
      </c>
      <c r="P552" t="s">
        <v>2011</v>
      </c>
      <c r="Q552" t="s">
        <v>92</v>
      </c>
    </row>
    <row r="553" spans="1:17" x14ac:dyDescent="0.25">
      <c r="A553" t="s">
        <v>1990</v>
      </c>
      <c r="B553" t="s">
        <v>1612</v>
      </c>
      <c r="C553" t="s">
        <v>19</v>
      </c>
      <c r="D553" t="s">
        <v>434</v>
      </c>
      <c r="E553" t="s">
        <v>122</v>
      </c>
      <c r="F553" t="s">
        <v>83</v>
      </c>
      <c r="G553">
        <v>28202</v>
      </c>
      <c r="H553">
        <v>554</v>
      </c>
      <c r="I553">
        <v>77</v>
      </c>
      <c r="J553" s="4">
        <f>MAX(Inventory[[#This Row],[Qty On Hand]]-Inventory[[#This Row],[Qty Allocated]],0)</f>
        <v>477</v>
      </c>
      <c r="K553">
        <v>183</v>
      </c>
      <c r="L553" t="s">
        <v>2020</v>
      </c>
      <c r="M553" t="s">
        <v>2021</v>
      </c>
      <c r="N553" t="s">
        <v>2022</v>
      </c>
      <c r="O553" t="s">
        <v>48</v>
      </c>
      <c r="P553" t="s">
        <v>2011</v>
      </c>
      <c r="Q553" t="s">
        <v>28</v>
      </c>
    </row>
    <row r="554" spans="1:17" x14ac:dyDescent="0.25">
      <c r="A554" t="s">
        <v>1990</v>
      </c>
      <c r="B554" t="s">
        <v>1612</v>
      </c>
      <c r="C554" t="s">
        <v>19</v>
      </c>
      <c r="D554" t="s">
        <v>434</v>
      </c>
      <c r="E554" t="s">
        <v>122</v>
      </c>
      <c r="F554" t="s">
        <v>83</v>
      </c>
      <c r="G554">
        <v>28202</v>
      </c>
      <c r="H554">
        <v>225</v>
      </c>
      <c r="I554">
        <v>62</v>
      </c>
      <c r="J554" s="4">
        <f>MAX(Inventory[[#This Row],[Qty On Hand]]-Inventory[[#This Row],[Qty Allocated]],0)</f>
        <v>163</v>
      </c>
      <c r="K554">
        <v>162</v>
      </c>
      <c r="L554" t="s">
        <v>2023</v>
      </c>
      <c r="M554" t="s">
        <v>2024</v>
      </c>
      <c r="N554" t="s">
        <v>1749</v>
      </c>
      <c r="O554" t="s">
        <v>26</v>
      </c>
      <c r="P554" t="s">
        <v>1833</v>
      </c>
      <c r="Q554" t="s">
        <v>92</v>
      </c>
    </row>
    <row r="555" spans="1:17" x14ac:dyDescent="0.25">
      <c r="A555" t="s">
        <v>2025</v>
      </c>
      <c r="B555" t="s">
        <v>1612</v>
      </c>
      <c r="C555" t="s">
        <v>19</v>
      </c>
      <c r="D555" t="s">
        <v>434</v>
      </c>
      <c r="E555" t="s">
        <v>171</v>
      </c>
      <c r="F555" t="s">
        <v>22</v>
      </c>
      <c r="G555">
        <v>94102</v>
      </c>
      <c r="H555">
        <v>3</v>
      </c>
      <c r="I555">
        <v>0</v>
      </c>
      <c r="J555" s="4">
        <f>MAX(Inventory[[#This Row],[Qty On Hand]]-Inventory[[#This Row],[Qty Allocated]],0)</f>
        <v>3</v>
      </c>
      <c r="K555">
        <v>360</v>
      </c>
      <c r="L555" t="s">
        <v>2026</v>
      </c>
      <c r="M555" t="s">
        <v>2027</v>
      </c>
      <c r="N555" t="s">
        <v>2028</v>
      </c>
      <c r="O555" t="s">
        <v>26</v>
      </c>
      <c r="P555" t="s">
        <v>2029</v>
      </c>
      <c r="Q555" t="s">
        <v>92</v>
      </c>
    </row>
    <row r="556" spans="1:17" x14ac:dyDescent="0.25">
      <c r="A556" t="s">
        <v>2025</v>
      </c>
      <c r="B556" t="s">
        <v>1612</v>
      </c>
      <c r="C556" t="s">
        <v>19</v>
      </c>
      <c r="D556" t="s">
        <v>434</v>
      </c>
      <c r="E556" t="s">
        <v>171</v>
      </c>
      <c r="F556" t="s">
        <v>29</v>
      </c>
      <c r="G556">
        <v>98072</v>
      </c>
      <c r="H556">
        <v>1865</v>
      </c>
      <c r="I556">
        <v>44</v>
      </c>
      <c r="J556" s="4">
        <f>MAX(Inventory[[#This Row],[Qty On Hand]]-Inventory[[#This Row],[Qty Allocated]],0)</f>
        <v>1821</v>
      </c>
      <c r="K556">
        <v>485</v>
      </c>
      <c r="L556" t="s">
        <v>2030</v>
      </c>
      <c r="M556" t="s">
        <v>2031</v>
      </c>
      <c r="N556" t="s">
        <v>149</v>
      </c>
      <c r="O556" t="s">
        <v>26</v>
      </c>
      <c r="P556" t="s">
        <v>1283</v>
      </c>
      <c r="Q556" t="s">
        <v>34</v>
      </c>
    </row>
    <row r="557" spans="1:17" x14ac:dyDescent="0.25">
      <c r="A557" t="s">
        <v>2025</v>
      </c>
      <c r="B557" t="s">
        <v>1612</v>
      </c>
      <c r="C557" t="s">
        <v>19</v>
      </c>
      <c r="D557" t="s">
        <v>434</v>
      </c>
      <c r="E557" t="s">
        <v>171</v>
      </c>
      <c r="F557" t="s">
        <v>35</v>
      </c>
      <c r="G557">
        <v>75201</v>
      </c>
      <c r="H557">
        <v>387</v>
      </c>
      <c r="I557">
        <v>68</v>
      </c>
      <c r="J557" s="4">
        <f>MAX(Inventory[[#This Row],[Qty On Hand]]-Inventory[[#This Row],[Qty Allocated]],0)</f>
        <v>319</v>
      </c>
      <c r="K557">
        <v>301</v>
      </c>
      <c r="L557" t="s">
        <v>2032</v>
      </c>
      <c r="M557" t="s">
        <v>2033</v>
      </c>
      <c r="N557" t="s">
        <v>2034</v>
      </c>
      <c r="O557" t="s">
        <v>26</v>
      </c>
      <c r="P557" t="s">
        <v>1526</v>
      </c>
      <c r="Q557" t="s">
        <v>34</v>
      </c>
    </row>
    <row r="558" spans="1:17" x14ac:dyDescent="0.25">
      <c r="A558" t="s">
        <v>2025</v>
      </c>
      <c r="B558" t="s">
        <v>1612</v>
      </c>
      <c r="C558" t="s">
        <v>19</v>
      </c>
      <c r="D558" t="s">
        <v>434</v>
      </c>
      <c r="E558" t="s">
        <v>171</v>
      </c>
      <c r="F558" t="s">
        <v>35</v>
      </c>
      <c r="G558">
        <v>75201</v>
      </c>
      <c r="H558">
        <v>446</v>
      </c>
      <c r="I558">
        <v>82</v>
      </c>
      <c r="J558" s="4">
        <f>MAX(Inventory[[#This Row],[Qty On Hand]]-Inventory[[#This Row],[Qty Allocated]],0)</f>
        <v>364</v>
      </c>
      <c r="K558">
        <v>311</v>
      </c>
      <c r="L558" t="s">
        <v>2035</v>
      </c>
      <c r="M558" t="s">
        <v>2036</v>
      </c>
      <c r="N558" t="s">
        <v>485</v>
      </c>
      <c r="O558" t="s">
        <v>26</v>
      </c>
      <c r="P558" t="s">
        <v>1248</v>
      </c>
      <c r="Q558" t="s">
        <v>40</v>
      </c>
    </row>
    <row r="559" spans="1:17" x14ac:dyDescent="0.25">
      <c r="A559" t="s">
        <v>2025</v>
      </c>
      <c r="B559" t="s">
        <v>1612</v>
      </c>
      <c r="C559" t="s">
        <v>19</v>
      </c>
      <c r="D559" t="s">
        <v>434</v>
      </c>
      <c r="E559" t="s">
        <v>171</v>
      </c>
      <c r="F559" t="s">
        <v>35</v>
      </c>
      <c r="G559">
        <v>75201</v>
      </c>
      <c r="H559">
        <v>429</v>
      </c>
      <c r="I559">
        <v>55</v>
      </c>
      <c r="J559" s="4">
        <f>MAX(Inventory[[#This Row],[Qty On Hand]]-Inventory[[#This Row],[Qty Allocated]],0)</f>
        <v>374</v>
      </c>
      <c r="K559">
        <v>239</v>
      </c>
      <c r="L559" t="s">
        <v>2037</v>
      </c>
      <c r="M559" t="s">
        <v>2038</v>
      </c>
      <c r="N559" t="s">
        <v>1754</v>
      </c>
      <c r="O559" t="s">
        <v>48</v>
      </c>
      <c r="P559" t="s">
        <v>1796</v>
      </c>
      <c r="Q559" t="s">
        <v>34</v>
      </c>
    </row>
    <row r="560" spans="1:17" x14ac:dyDescent="0.25">
      <c r="A560" t="s">
        <v>2025</v>
      </c>
      <c r="B560" t="s">
        <v>1612</v>
      </c>
      <c r="C560" t="s">
        <v>19</v>
      </c>
      <c r="D560" t="s">
        <v>434</v>
      </c>
      <c r="E560" t="s">
        <v>171</v>
      </c>
      <c r="F560" t="s">
        <v>35</v>
      </c>
      <c r="G560">
        <v>75201</v>
      </c>
      <c r="H560">
        <v>277</v>
      </c>
      <c r="I560">
        <v>53</v>
      </c>
      <c r="J560" s="4">
        <f>MAX(Inventory[[#This Row],[Qty On Hand]]-Inventory[[#This Row],[Qty Allocated]],0)</f>
        <v>224</v>
      </c>
      <c r="K560">
        <v>161</v>
      </c>
      <c r="L560" t="s">
        <v>2039</v>
      </c>
      <c r="M560" t="s">
        <v>2040</v>
      </c>
      <c r="N560" t="s">
        <v>703</v>
      </c>
      <c r="O560" t="s">
        <v>26</v>
      </c>
      <c r="P560" t="s">
        <v>1210</v>
      </c>
      <c r="Q560" t="s">
        <v>34</v>
      </c>
    </row>
    <row r="561" spans="1:17" x14ac:dyDescent="0.25">
      <c r="A561" t="s">
        <v>2025</v>
      </c>
      <c r="B561" t="s">
        <v>1612</v>
      </c>
      <c r="C561" t="s">
        <v>19</v>
      </c>
      <c r="D561" t="s">
        <v>434</v>
      </c>
      <c r="E561" t="s">
        <v>171</v>
      </c>
      <c r="F561" t="s">
        <v>35</v>
      </c>
      <c r="G561">
        <v>75201</v>
      </c>
      <c r="H561">
        <v>303</v>
      </c>
      <c r="I561">
        <v>26</v>
      </c>
      <c r="J561" s="4">
        <f>MAX(Inventory[[#This Row],[Qty On Hand]]-Inventory[[#This Row],[Qty Allocated]],0)</f>
        <v>277</v>
      </c>
      <c r="K561">
        <v>228</v>
      </c>
      <c r="L561" t="s">
        <v>2041</v>
      </c>
      <c r="M561" t="s">
        <v>2042</v>
      </c>
      <c r="N561" t="s">
        <v>801</v>
      </c>
      <c r="O561" t="s">
        <v>26</v>
      </c>
      <c r="P561" t="s">
        <v>1450</v>
      </c>
      <c r="Q561" t="s">
        <v>28</v>
      </c>
    </row>
    <row r="562" spans="1:17" x14ac:dyDescent="0.25">
      <c r="A562" t="s">
        <v>2025</v>
      </c>
      <c r="B562" t="s">
        <v>1612</v>
      </c>
      <c r="C562" t="s">
        <v>19</v>
      </c>
      <c r="D562" t="s">
        <v>434</v>
      </c>
      <c r="E562" t="s">
        <v>171</v>
      </c>
      <c r="F562" t="s">
        <v>62</v>
      </c>
      <c r="G562">
        <v>63101</v>
      </c>
      <c r="H562">
        <v>534</v>
      </c>
      <c r="I562">
        <v>75</v>
      </c>
      <c r="J562" s="4">
        <f>MAX(Inventory[[#This Row],[Qty On Hand]]-Inventory[[#This Row],[Qty Allocated]],0)</f>
        <v>459</v>
      </c>
      <c r="K562">
        <v>202</v>
      </c>
      <c r="L562" t="s">
        <v>2043</v>
      </c>
      <c r="M562" t="s">
        <v>2044</v>
      </c>
      <c r="N562" t="s">
        <v>752</v>
      </c>
      <c r="O562" t="s">
        <v>48</v>
      </c>
      <c r="P562" t="s">
        <v>2045</v>
      </c>
      <c r="Q562" t="s">
        <v>40</v>
      </c>
    </row>
    <row r="563" spans="1:17" x14ac:dyDescent="0.25">
      <c r="A563" t="s">
        <v>2025</v>
      </c>
      <c r="B563" t="s">
        <v>1612</v>
      </c>
      <c r="C563" t="s">
        <v>19</v>
      </c>
      <c r="D563" t="s">
        <v>434</v>
      </c>
      <c r="E563" t="s">
        <v>171</v>
      </c>
      <c r="F563" t="s">
        <v>62</v>
      </c>
      <c r="G563">
        <v>63101</v>
      </c>
      <c r="H563">
        <v>794</v>
      </c>
      <c r="I563">
        <v>40</v>
      </c>
      <c r="J563" s="4">
        <f>MAX(Inventory[[#This Row],[Qty On Hand]]-Inventory[[#This Row],[Qty Allocated]],0)</f>
        <v>754</v>
      </c>
      <c r="K563">
        <v>298</v>
      </c>
      <c r="L563" t="s">
        <v>2046</v>
      </c>
      <c r="M563" t="s">
        <v>2047</v>
      </c>
      <c r="N563" t="s">
        <v>771</v>
      </c>
      <c r="O563" t="s">
        <v>26</v>
      </c>
      <c r="P563" t="s">
        <v>2048</v>
      </c>
      <c r="Q563" t="s">
        <v>92</v>
      </c>
    </row>
    <row r="564" spans="1:17" x14ac:dyDescent="0.25">
      <c r="A564" t="s">
        <v>2025</v>
      </c>
      <c r="B564" t="s">
        <v>1612</v>
      </c>
      <c r="C564" t="s">
        <v>19</v>
      </c>
      <c r="D564" t="s">
        <v>434</v>
      </c>
      <c r="E564" t="s">
        <v>171</v>
      </c>
      <c r="F564" t="s">
        <v>62</v>
      </c>
      <c r="G564">
        <v>63101</v>
      </c>
      <c r="H564">
        <v>369</v>
      </c>
      <c r="I564">
        <v>95</v>
      </c>
      <c r="J564" s="4">
        <f>MAX(Inventory[[#This Row],[Qty On Hand]]-Inventory[[#This Row],[Qty Allocated]],0)</f>
        <v>274</v>
      </c>
      <c r="K564">
        <v>198</v>
      </c>
      <c r="L564" t="s">
        <v>2049</v>
      </c>
      <c r="M564" t="s">
        <v>2050</v>
      </c>
      <c r="N564" t="s">
        <v>1219</v>
      </c>
      <c r="O564" t="s">
        <v>26</v>
      </c>
      <c r="P564" t="s">
        <v>1484</v>
      </c>
      <c r="Q564" t="s">
        <v>92</v>
      </c>
    </row>
    <row r="565" spans="1:17" x14ac:dyDescent="0.25">
      <c r="A565" t="s">
        <v>2025</v>
      </c>
      <c r="B565" t="s">
        <v>1612</v>
      </c>
      <c r="C565" t="s">
        <v>19</v>
      </c>
      <c r="D565" t="s">
        <v>434</v>
      </c>
      <c r="E565" t="s">
        <v>171</v>
      </c>
      <c r="F565" t="s">
        <v>62</v>
      </c>
      <c r="G565">
        <v>63101</v>
      </c>
      <c r="H565">
        <v>869</v>
      </c>
      <c r="I565">
        <v>40</v>
      </c>
      <c r="J565" s="4">
        <f>MAX(Inventory[[#This Row],[Qty On Hand]]-Inventory[[#This Row],[Qty Allocated]],0)</f>
        <v>829</v>
      </c>
      <c r="K565">
        <v>252</v>
      </c>
      <c r="L565" t="s">
        <v>2051</v>
      </c>
      <c r="M565" t="s">
        <v>2052</v>
      </c>
      <c r="N565" t="s">
        <v>420</v>
      </c>
      <c r="O565" t="s">
        <v>26</v>
      </c>
      <c r="P565" t="s">
        <v>2053</v>
      </c>
      <c r="Q565" t="s">
        <v>40</v>
      </c>
    </row>
    <row r="566" spans="1:17" x14ac:dyDescent="0.25">
      <c r="A566" t="s">
        <v>2025</v>
      </c>
      <c r="B566" t="s">
        <v>1612</v>
      </c>
      <c r="C566" t="s">
        <v>19</v>
      </c>
      <c r="D566" t="s">
        <v>434</v>
      </c>
      <c r="E566" t="s">
        <v>171</v>
      </c>
      <c r="F566" t="s">
        <v>62</v>
      </c>
      <c r="G566">
        <v>63101</v>
      </c>
      <c r="H566">
        <v>892</v>
      </c>
      <c r="I566">
        <v>87</v>
      </c>
      <c r="J566" s="4">
        <f>MAX(Inventory[[#This Row],[Qty On Hand]]-Inventory[[#This Row],[Qty Allocated]],0)</f>
        <v>805</v>
      </c>
      <c r="K566">
        <v>130</v>
      </c>
      <c r="L566" t="s">
        <v>2054</v>
      </c>
      <c r="M566" t="s">
        <v>2055</v>
      </c>
      <c r="N566" t="s">
        <v>1669</v>
      </c>
      <c r="O566" t="s">
        <v>26</v>
      </c>
      <c r="P566" t="s">
        <v>2056</v>
      </c>
      <c r="Q566" t="s">
        <v>40</v>
      </c>
    </row>
    <row r="567" spans="1:17" x14ac:dyDescent="0.25">
      <c r="A567" t="s">
        <v>2025</v>
      </c>
      <c r="B567" t="s">
        <v>1612</v>
      </c>
      <c r="C567" t="s">
        <v>19</v>
      </c>
      <c r="D567" t="s">
        <v>434</v>
      </c>
      <c r="E567" t="s">
        <v>171</v>
      </c>
      <c r="F567" t="s">
        <v>83</v>
      </c>
      <c r="G567">
        <v>28202</v>
      </c>
      <c r="H567">
        <v>714</v>
      </c>
      <c r="I567">
        <v>21</v>
      </c>
      <c r="J567" s="4">
        <f>MAX(Inventory[[#This Row],[Qty On Hand]]-Inventory[[#This Row],[Qty Allocated]],0)</f>
        <v>693</v>
      </c>
      <c r="K567">
        <v>331</v>
      </c>
      <c r="L567" t="s">
        <v>2057</v>
      </c>
      <c r="M567" t="s">
        <v>2058</v>
      </c>
      <c r="N567" t="s">
        <v>2059</v>
      </c>
      <c r="O567" t="s">
        <v>48</v>
      </c>
      <c r="P567" t="s">
        <v>2060</v>
      </c>
      <c r="Q567" t="s">
        <v>40</v>
      </c>
    </row>
    <row r="568" spans="1:17" x14ac:dyDescent="0.25">
      <c r="A568" t="s">
        <v>2025</v>
      </c>
      <c r="B568" t="s">
        <v>1612</v>
      </c>
      <c r="C568" t="s">
        <v>19</v>
      </c>
      <c r="D568" t="s">
        <v>434</v>
      </c>
      <c r="E568" t="s">
        <v>171</v>
      </c>
      <c r="F568" t="s">
        <v>83</v>
      </c>
      <c r="G568">
        <v>28202</v>
      </c>
      <c r="H568">
        <v>376</v>
      </c>
      <c r="I568">
        <v>77</v>
      </c>
      <c r="J568" s="4">
        <f>MAX(Inventory[[#This Row],[Qty On Hand]]-Inventory[[#This Row],[Qty Allocated]],0)</f>
        <v>299</v>
      </c>
      <c r="K568">
        <v>186</v>
      </c>
      <c r="L568" t="s">
        <v>2061</v>
      </c>
      <c r="M568" t="s">
        <v>2062</v>
      </c>
      <c r="N568" t="s">
        <v>1430</v>
      </c>
      <c r="O568" t="s">
        <v>48</v>
      </c>
      <c r="P568" t="s">
        <v>2063</v>
      </c>
      <c r="Q568" t="s">
        <v>92</v>
      </c>
    </row>
    <row r="569" spans="1:17" x14ac:dyDescent="0.25">
      <c r="A569" t="s">
        <v>2025</v>
      </c>
      <c r="B569" t="s">
        <v>1612</v>
      </c>
      <c r="C569" t="s">
        <v>19</v>
      </c>
      <c r="D569" t="s">
        <v>434</v>
      </c>
      <c r="E569" t="s">
        <v>171</v>
      </c>
      <c r="F569" t="s">
        <v>83</v>
      </c>
      <c r="G569">
        <v>28202</v>
      </c>
      <c r="H569">
        <v>356</v>
      </c>
      <c r="I569">
        <v>8</v>
      </c>
      <c r="J569" s="4">
        <f>MAX(Inventory[[#This Row],[Qty On Hand]]-Inventory[[#This Row],[Qty Allocated]],0)</f>
        <v>348</v>
      </c>
      <c r="K569">
        <v>260</v>
      </c>
      <c r="L569" t="s">
        <v>1629</v>
      </c>
      <c r="M569" t="s">
        <v>2064</v>
      </c>
      <c r="N569" t="s">
        <v>1872</v>
      </c>
      <c r="O569" t="s">
        <v>26</v>
      </c>
      <c r="P569" t="s">
        <v>2065</v>
      </c>
      <c r="Q569" t="s">
        <v>28</v>
      </c>
    </row>
    <row r="570" spans="1:17" x14ac:dyDescent="0.25">
      <c r="A570" t="s">
        <v>2025</v>
      </c>
      <c r="B570" t="s">
        <v>1612</v>
      </c>
      <c r="C570" t="s">
        <v>19</v>
      </c>
      <c r="D570" t="s">
        <v>434</v>
      </c>
      <c r="E570" t="s">
        <v>171</v>
      </c>
      <c r="F570" t="s">
        <v>83</v>
      </c>
      <c r="G570">
        <v>28202</v>
      </c>
      <c r="H570">
        <v>511</v>
      </c>
      <c r="I570">
        <v>29</v>
      </c>
      <c r="J570" s="4">
        <f>MAX(Inventory[[#This Row],[Qty On Hand]]-Inventory[[#This Row],[Qty Allocated]],0)</f>
        <v>482</v>
      </c>
      <c r="K570">
        <v>366</v>
      </c>
      <c r="L570" t="s">
        <v>2066</v>
      </c>
      <c r="M570" t="s">
        <v>2067</v>
      </c>
      <c r="N570" t="s">
        <v>2068</v>
      </c>
      <c r="O570" t="s">
        <v>26</v>
      </c>
      <c r="P570" t="s">
        <v>1053</v>
      </c>
      <c r="Q570" t="s">
        <v>34</v>
      </c>
    </row>
    <row r="571" spans="1:17" x14ac:dyDescent="0.25">
      <c r="A571" t="s">
        <v>2069</v>
      </c>
      <c r="B571" t="s">
        <v>1612</v>
      </c>
      <c r="C571" t="s">
        <v>19</v>
      </c>
      <c r="D571" t="s">
        <v>601</v>
      </c>
      <c r="E571" t="s">
        <v>21</v>
      </c>
      <c r="F571" t="s">
        <v>22</v>
      </c>
      <c r="G571">
        <v>94102</v>
      </c>
      <c r="H571">
        <v>2</v>
      </c>
      <c r="I571">
        <v>0</v>
      </c>
      <c r="J571" s="4">
        <f>MAX(Inventory[[#This Row],[Qty On Hand]]-Inventory[[#This Row],[Qty Allocated]],0)</f>
        <v>2</v>
      </c>
      <c r="K571">
        <v>485</v>
      </c>
      <c r="L571" t="s">
        <v>2070</v>
      </c>
      <c r="M571" t="s">
        <v>2071</v>
      </c>
      <c r="N571" t="s">
        <v>1461</v>
      </c>
      <c r="O571" t="s">
        <v>26</v>
      </c>
      <c r="P571" t="s">
        <v>1803</v>
      </c>
      <c r="Q571" t="s">
        <v>40</v>
      </c>
    </row>
    <row r="572" spans="1:17" x14ac:dyDescent="0.25">
      <c r="A572" t="s">
        <v>2069</v>
      </c>
      <c r="B572" t="s">
        <v>1612</v>
      </c>
      <c r="C572" t="s">
        <v>19</v>
      </c>
      <c r="D572" t="s">
        <v>601</v>
      </c>
      <c r="E572" t="s">
        <v>21</v>
      </c>
      <c r="F572" t="s">
        <v>29</v>
      </c>
      <c r="G572">
        <v>98072</v>
      </c>
      <c r="H572">
        <v>2507</v>
      </c>
      <c r="I572">
        <v>90</v>
      </c>
      <c r="J572" s="4">
        <f>MAX(Inventory[[#This Row],[Qty On Hand]]-Inventory[[#This Row],[Qty Allocated]],0)</f>
        <v>2417</v>
      </c>
      <c r="K572">
        <v>460</v>
      </c>
      <c r="L572" t="s">
        <v>1215</v>
      </c>
      <c r="M572" t="s">
        <v>2072</v>
      </c>
      <c r="N572" t="s">
        <v>2073</v>
      </c>
      <c r="O572" t="s">
        <v>26</v>
      </c>
      <c r="P572" t="s">
        <v>2074</v>
      </c>
      <c r="Q572" t="s">
        <v>92</v>
      </c>
    </row>
    <row r="573" spans="1:17" x14ac:dyDescent="0.25">
      <c r="A573" t="s">
        <v>2069</v>
      </c>
      <c r="B573" t="s">
        <v>1612</v>
      </c>
      <c r="C573" t="s">
        <v>19</v>
      </c>
      <c r="D573" t="s">
        <v>601</v>
      </c>
      <c r="E573" t="s">
        <v>21</v>
      </c>
      <c r="F573" t="s">
        <v>35</v>
      </c>
      <c r="G573">
        <v>75201</v>
      </c>
      <c r="H573">
        <v>663</v>
      </c>
      <c r="I573">
        <v>21</v>
      </c>
      <c r="J573" s="4">
        <f>MAX(Inventory[[#This Row],[Qty On Hand]]-Inventory[[#This Row],[Qty Allocated]],0)</f>
        <v>642</v>
      </c>
      <c r="K573">
        <v>231</v>
      </c>
      <c r="L573" t="s">
        <v>2075</v>
      </c>
      <c r="M573" t="s">
        <v>2076</v>
      </c>
      <c r="N573" t="s">
        <v>381</v>
      </c>
      <c r="O573" t="s">
        <v>48</v>
      </c>
      <c r="P573" t="s">
        <v>2077</v>
      </c>
      <c r="Q573" t="s">
        <v>28</v>
      </c>
    </row>
    <row r="574" spans="1:17" x14ac:dyDescent="0.25">
      <c r="A574" t="s">
        <v>2069</v>
      </c>
      <c r="B574" t="s">
        <v>1612</v>
      </c>
      <c r="C574" t="s">
        <v>19</v>
      </c>
      <c r="D574" t="s">
        <v>601</v>
      </c>
      <c r="E574" t="s">
        <v>21</v>
      </c>
      <c r="F574" t="s">
        <v>35</v>
      </c>
      <c r="G574">
        <v>75201</v>
      </c>
      <c r="H574">
        <v>500</v>
      </c>
      <c r="I574">
        <v>99</v>
      </c>
      <c r="J574" s="4">
        <f>MAX(Inventory[[#This Row],[Qty On Hand]]-Inventory[[#This Row],[Qty Allocated]],0)</f>
        <v>401</v>
      </c>
      <c r="K574">
        <v>303</v>
      </c>
      <c r="L574" t="s">
        <v>2078</v>
      </c>
      <c r="M574" t="s">
        <v>2079</v>
      </c>
      <c r="N574" t="s">
        <v>1947</v>
      </c>
      <c r="O574" t="s">
        <v>26</v>
      </c>
      <c r="P574" t="s">
        <v>738</v>
      </c>
      <c r="Q574" t="s">
        <v>40</v>
      </c>
    </row>
    <row r="575" spans="1:17" x14ac:dyDescent="0.25">
      <c r="A575" t="s">
        <v>2069</v>
      </c>
      <c r="B575" t="s">
        <v>1612</v>
      </c>
      <c r="C575" t="s">
        <v>19</v>
      </c>
      <c r="D575" t="s">
        <v>601</v>
      </c>
      <c r="E575" t="s">
        <v>21</v>
      </c>
      <c r="F575" t="s">
        <v>35</v>
      </c>
      <c r="G575">
        <v>75201</v>
      </c>
      <c r="H575">
        <v>867</v>
      </c>
      <c r="I575">
        <v>8</v>
      </c>
      <c r="J575" s="4">
        <f>MAX(Inventory[[#This Row],[Qty On Hand]]-Inventory[[#This Row],[Qty Allocated]],0)</f>
        <v>859</v>
      </c>
      <c r="K575">
        <v>175</v>
      </c>
      <c r="L575" t="s">
        <v>2080</v>
      </c>
      <c r="M575" t="s">
        <v>2081</v>
      </c>
      <c r="N575" t="s">
        <v>2082</v>
      </c>
      <c r="O575" t="s">
        <v>48</v>
      </c>
      <c r="P575" t="s">
        <v>1188</v>
      </c>
      <c r="Q575" t="s">
        <v>40</v>
      </c>
    </row>
    <row r="576" spans="1:17" x14ac:dyDescent="0.25">
      <c r="A576" t="s">
        <v>2069</v>
      </c>
      <c r="B576" t="s">
        <v>1612</v>
      </c>
      <c r="C576" t="s">
        <v>19</v>
      </c>
      <c r="D576" t="s">
        <v>601</v>
      </c>
      <c r="E576" t="s">
        <v>21</v>
      </c>
      <c r="F576" t="s">
        <v>35</v>
      </c>
      <c r="G576">
        <v>75201</v>
      </c>
      <c r="H576">
        <v>584</v>
      </c>
      <c r="I576">
        <v>12</v>
      </c>
      <c r="J576" s="4">
        <f>MAX(Inventory[[#This Row],[Qty On Hand]]-Inventory[[#This Row],[Qty Allocated]],0)</f>
        <v>572</v>
      </c>
      <c r="K576">
        <v>347</v>
      </c>
      <c r="L576" t="s">
        <v>2083</v>
      </c>
      <c r="M576" t="s">
        <v>2084</v>
      </c>
      <c r="N576" t="s">
        <v>1754</v>
      </c>
      <c r="O576" t="s">
        <v>26</v>
      </c>
      <c r="P576" t="s">
        <v>768</v>
      </c>
      <c r="Q576" t="s">
        <v>28</v>
      </c>
    </row>
    <row r="577" spans="1:17" x14ac:dyDescent="0.25">
      <c r="A577" t="s">
        <v>2069</v>
      </c>
      <c r="B577" t="s">
        <v>1612</v>
      </c>
      <c r="C577" t="s">
        <v>19</v>
      </c>
      <c r="D577" t="s">
        <v>601</v>
      </c>
      <c r="E577" t="s">
        <v>21</v>
      </c>
      <c r="F577" t="s">
        <v>62</v>
      </c>
      <c r="G577">
        <v>63101</v>
      </c>
      <c r="H577">
        <v>508</v>
      </c>
      <c r="I577">
        <v>38</v>
      </c>
      <c r="J577" s="4">
        <f>MAX(Inventory[[#This Row],[Qty On Hand]]-Inventory[[#This Row],[Qty Allocated]],0)</f>
        <v>470</v>
      </c>
      <c r="K577">
        <v>318</v>
      </c>
      <c r="L577" t="s">
        <v>2085</v>
      </c>
      <c r="M577" t="s">
        <v>2086</v>
      </c>
      <c r="N577" t="s">
        <v>252</v>
      </c>
      <c r="O577" t="s">
        <v>26</v>
      </c>
      <c r="P577" t="s">
        <v>1847</v>
      </c>
      <c r="Q577" t="s">
        <v>28</v>
      </c>
    </row>
    <row r="578" spans="1:17" x14ac:dyDescent="0.25">
      <c r="A578" t="s">
        <v>2069</v>
      </c>
      <c r="B578" t="s">
        <v>1612</v>
      </c>
      <c r="C578" t="s">
        <v>19</v>
      </c>
      <c r="D578" t="s">
        <v>601</v>
      </c>
      <c r="E578" t="s">
        <v>21</v>
      </c>
      <c r="F578" t="s">
        <v>62</v>
      </c>
      <c r="G578">
        <v>63101</v>
      </c>
      <c r="H578">
        <v>849</v>
      </c>
      <c r="I578">
        <v>0</v>
      </c>
      <c r="J578" s="4">
        <f>MAX(Inventory[[#This Row],[Qty On Hand]]-Inventory[[#This Row],[Qty Allocated]],0)</f>
        <v>849</v>
      </c>
      <c r="K578">
        <v>258</v>
      </c>
      <c r="L578" t="s">
        <v>2087</v>
      </c>
      <c r="M578" t="s">
        <v>2088</v>
      </c>
      <c r="N578" t="s">
        <v>99</v>
      </c>
      <c r="O578" t="s">
        <v>26</v>
      </c>
      <c r="P578" t="s">
        <v>1223</v>
      </c>
      <c r="Q578" t="s">
        <v>92</v>
      </c>
    </row>
    <row r="579" spans="1:17" x14ac:dyDescent="0.25">
      <c r="A579" t="s">
        <v>2069</v>
      </c>
      <c r="B579" t="s">
        <v>1612</v>
      </c>
      <c r="C579" t="s">
        <v>19</v>
      </c>
      <c r="D579" t="s">
        <v>601</v>
      </c>
      <c r="E579" t="s">
        <v>21</v>
      </c>
      <c r="F579" t="s">
        <v>62</v>
      </c>
      <c r="G579">
        <v>63101</v>
      </c>
      <c r="H579">
        <v>340</v>
      </c>
      <c r="I579">
        <v>73</v>
      </c>
      <c r="J579" s="4">
        <f>MAX(Inventory[[#This Row],[Qty On Hand]]-Inventory[[#This Row],[Qty Allocated]],0)</f>
        <v>267</v>
      </c>
      <c r="K579">
        <v>226</v>
      </c>
      <c r="L579" t="s">
        <v>2089</v>
      </c>
      <c r="M579" t="s">
        <v>2090</v>
      </c>
      <c r="N579" t="s">
        <v>2091</v>
      </c>
      <c r="O579" t="s">
        <v>26</v>
      </c>
      <c r="P579" t="s">
        <v>2092</v>
      </c>
      <c r="Q579" t="s">
        <v>34</v>
      </c>
    </row>
    <row r="580" spans="1:17" x14ac:dyDescent="0.25">
      <c r="A580" t="s">
        <v>2069</v>
      </c>
      <c r="B580" t="s">
        <v>1612</v>
      </c>
      <c r="C580" t="s">
        <v>19</v>
      </c>
      <c r="D580" t="s">
        <v>601</v>
      </c>
      <c r="E580" t="s">
        <v>21</v>
      </c>
      <c r="F580" t="s">
        <v>62</v>
      </c>
      <c r="G580">
        <v>63101</v>
      </c>
      <c r="H580">
        <v>774</v>
      </c>
      <c r="I580">
        <v>82</v>
      </c>
      <c r="J580" s="4">
        <f>MAX(Inventory[[#This Row],[Qty On Hand]]-Inventory[[#This Row],[Qty Allocated]],0)</f>
        <v>692</v>
      </c>
      <c r="K580">
        <v>387</v>
      </c>
      <c r="L580" t="s">
        <v>2093</v>
      </c>
      <c r="M580" t="s">
        <v>2094</v>
      </c>
      <c r="N580" t="s">
        <v>2095</v>
      </c>
      <c r="O580" t="s">
        <v>26</v>
      </c>
      <c r="P580" t="s">
        <v>2096</v>
      </c>
      <c r="Q580" t="s">
        <v>40</v>
      </c>
    </row>
    <row r="581" spans="1:17" x14ac:dyDescent="0.25">
      <c r="A581" t="s">
        <v>2069</v>
      </c>
      <c r="B581" t="s">
        <v>1612</v>
      </c>
      <c r="C581" t="s">
        <v>19</v>
      </c>
      <c r="D581" t="s">
        <v>601</v>
      </c>
      <c r="E581" t="s">
        <v>21</v>
      </c>
      <c r="F581" t="s">
        <v>62</v>
      </c>
      <c r="G581">
        <v>63101</v>
      </c>
      <c r="H581">
        <v>395</v>
      </c>
      <c r="I581">
        <v>90</v>
      </c>
      <c r="J581" s="4">
        <f>MAX(Inventory[[#This Row],[Qty On Hand]]-Inventory[[#This Row],[Qty Allocated]],0)</f>
        <v>305</v>
      </c>
      <c r="K581">
        <v>283</v>
      </c>
      <c r="L581" t="s">
        <v>2097</v>
      </c>
      <c r="M581" t="s">
        <v>2098</v>
      </c>
      <c r="N581" t="s">
        <v>2099</v>
      </c>
      <c r="O581" t="s">
        <v>26</v>
      </c>
      <c r="P581" t="s">
        <v>2100</v>
      </c>
      <c r="Q581" t="s">
        <v>34</v>
      </c>
    </row>
    <row r="582" spans="1:17" x14ac:dyDescent="0.25">
      <c r="A582" t="s">
        <v>2069</v>
      </c>
      <c r="B582" t="s">
        <v>1612</v>
      </c>
      <c r="C582" t="s">
        <v>19</v>
      </c>
      <c r="D582" t="s">
        <v>601</v>
      </c>
      <c r="E582" t="s">
        <v>21</v>
      </c>
      <c r="F582" t="s">
        <v>83</v>
      </c>
      <c r="G582">
        <v>28202</v>
      </c>
      <c r="H582">
        <v>494</v>
      </c>
      <c r="I582">
        <v>88</v>
      </c>
      <c r="J582" s="4">
        <f>MAX(Inventory[[#This Row],[Qty On Hand]]-Inventory[[#This Row],[Qty Allocated]],0)</f>
        <v>406</v>
      </c>
      <c r="K582">
        <v>350</v>
      </c>
      <c r="L582" t="s">
        <v>258</v>
      </c>
      <c r="M582" t="s">
        <v>2101</v>
      </c>
      <c r="N582" t="s">
        <v>2102</v>
      </c>
      <c r="O582" t="s">
        <v>26</v>
      </c>
      <c r="P582" t="s">
        <v>414</v>
      </c>
      <c r="Q582" t="s">
        <v>28</v>
      </c>
    </row>
    <row r="583" spans="1:17" x14ac:dyDescent="0.25">
      <c r="A583" t="s">
        <v>2069</v>
      </c>
      <c r="B583" t="s">
        <v>1612</v>
      </c>
      <c r="C583" t="s">
        <v>19</v>
      </c>
      <c r="D583" t="s">
        <v>601</v>
      </c>
      <c r="E583" t="s">
        <v>21</v>
      </c>
      <c r="F583" t="s">
        <v>83</v>
      </c>
      <c r="G583">
        <v>28202</v>
      </c>
      <c r="H583">
        <v>777</v>
      </c>
      <c r="I583">
        <v>99</v>
      </c>
      <c r="J583" s="4">
        <f>MAX(Inventory[[#This Row],[Qty On Hand]]-Inventory[[#This Row],[Qty Allocated]],0)</f>
        <v>678</v>
      </c>
      <c r="K583">
        <v>279</v>
      </c>
      <c r="L583" t="s">
        <v>2103</v>
      </c>
      <c r="M583" t="s">
        <v>2104</v>
      </c>
      <c r="N583" t="s">
        <v>2105</v>
      </c>
      <c r="O583" t="s">
        <v>26</v>
      </c>
      <c r="P583" t="s">
        <v>2048</v>
      </c>
      <c r="Q583" t="s">
        <v>40</v>
      </c>
    </row>
    <row r="584" spans="1:17" x14ac:dyDescent="0.25">
      <c r="A584" t="s">
        <v>2069</v>
      </c>
      <c r="B584" t="s">
        <v>1612</v>
      </c>
      <c r="C584" t="s">
        <v>19</v>
      </c>
      <c r="D584" t="s">
        <v>601</v>
      </c>
      <c r="E584" t="s">
        <v>21</v>
      </c>
      <c r="F584" t="s">
        <v>83</v>
      </c>
      <c r="G584">
        <v>28202</v>
      </c>
      <c r="H584">
        <v>593</v>
      </c>
      <c r="I584">
        <v>60</v>
      </c>
      <c r="J584" s="4">
        <f>MAX(Inventory[[#This Row],[Qty On Hand]]-Inventory[[#This Row],[Qty Allocated]],0)</f>
        <v>533</v>
      </c>
      <c r="K584">
        <v>113</v>
      </c>
      <c r="L584" t="s">
        <v>2106</v>
      </c>
      <c r="M584" t="s">
        <v>2107</v>
      </c>
      <c r="N584" t="s">
        <v>2108</v>
      </c>
      <c r="O584" t="s">
        <v>48</v>
      </c>
      <c r="P584" t="s">
        <v>1012</v>
      </c>
      <c r="Q584" t="s">
        <v>28</v>
      </c>
    </row>
    <row r="585" spans="1:17" x14ac:dyDescent="0.25">
      <c r="A585" t="s">
        <v>2109</v>
      </c>
      <c r="B585" t="s">
        <v>1612</v>
      </c>
      <c r="C585" t="s">
        <v>19</v>
      </c>
      <c r="D585" t="s">
        <v>601</v>
      </c>
      <c r="E585" t="s">
        <v>122</v>
      </c>
      <c r="F585" t="s">
        <v>35</v>
      </c>
      <c r="G585">
        <v>75201</v>
      </c>
      <c r="H585">
        <v>391</v>
      </c>
      <c r="I585">
        <v>31</v>
      </c>
      <c r="J585" s="4">
        <f>MAX(Inventory[[#This Row],[Qty On Hand]]-Inventory[[#This Row],[Qty Allocated]],0)</f>
        <v>360</v>
      </c>
      <c r="K585">
        <v>282</v>
      </c>
      <c r="L585" t="s">
        <v>2110</v>
      </c>
      <c r="M585" t="s">
        <v>2111</v>
      </c>
      <c r="N585" t="s">
        <v>2112</v>
      </c>
      <c r="O585" t="s">
        <v>26</v>
      </c>
      <c r="P585" t="s">
        <v>2113</v>
      </c>
      <c r="Q585" t="s">
        <v>40</v>
      </c>
    </row>
    <row r="586" spans="1:17" x14ac:dyDescent="0.25">
      <c r="A586" t="s">
        <v>2109</v>
      </c>
      <c r="B586" t="s">
        <v>1612</v>
      </c>
      <c r="C586" t="s">
        <v>19</v>
      </c>
      <c r="D586" t="s">
        <v>601</v>
      </c>
      <c r="E586" t="s">
        <v>122</v>
      </c>
      <c r="F586" t="s">
        <v>35</v>
      </c>
      <c r="G586">
        <v>75201</v>
      </c>
      <c r="H586">
        <v>699</v>
      </c>
      <c r="I586">
        <v>57</v>
      </c>
      <c r="J586" s="4">
        <f>MAX(Inventory[[#This Row],[Qty On Hand]]-Inventory[[#This Row],[Qty Allocated]],0)</f>
        <v>642</v>
      </c>
      <c r="K586">
        <v>304</v>
      </c>
      <c r="L586" t="s">
        <v>2114</v>
      </c>
      <c r="M586" t="s">
        <v>2115</v>
      </c>
      <c r="N586" t="s">
        <v>2116</v>
      </c>
      <c r="O586" t="s">
        <v>26</v>
      </c>
      <c r="P586" t="s">
        <v>2117</v>
      </c>
      <c r="Q586" t="s">
        <v>28</v>
      </c>
    </row>
    <row r="587" spans="1:17" x14ac:dyDescent="0.25">
      <c r="A587" t="s">
        <v>2109</v>
      </c>
      <c r="B587" t="s">
        <v>1612</v>
      </c>
      <c r="C587" t="s">
        <v>19</v>
      </c>
      <c r="D587" t="s">
        <v>601</v>
      </c>
      <c r="E587" t="s">
        <v>122</v>
      </c>
      <c r="F587" t="s">
        <v>35</v>
      </c>
      <c r="G587">
        <v>75201</v>
      </c>
      <c r="H587">
        <v>612</v>
      </c>
      <c r="I587">
        <v>83</v>
      </c>
      <c r="J587" s="4">
        <f>MAX(Inventory[[#This Row],[Qty On Hand]]-Inventory[[#This Row],[Qty Allocated]],0)</f>
        <v>529</v>
      </c>
      <c r="K587">
        <v>243</v>
      </c>
      <c r="L587" t="s">
        <v>1800</v>
      </c>
      <c r="M587" t="s">
        <v>2118</v>
      </c>
      <c r="N587" t="s">
        <v>2119</v>
      </c>
      <c r="O587" t="s">
        <v>48</v>
      </c>
      <c r="P587" t="s">
        <v>134</v>
      </c>
      <c r="Q587" t="s">
        <v>40</v>
      </c>
    </row>
    <row r="588" spans="1:17" x14ac:dyDescent="0.25">
      <c r="A588" t="s">
        <v>2109</v>
      </c>
      <c r="B588" t="s">
        <v>1612</v>
      </c>
      <c r="C588" t="s">
        <v>19</v>
      </c>
      <c r="D588" t="s">
        <v>601</v>
      </c>
      <c r="E588" t="s">
        <v>122</v>
      </c>
      <c r="F588" t="s">
        <v>62</v>
      </c>
      <c r="G588">
        <v>63101</v>
      </c>
      <c r="H588">
        <v>357</v>
      </c>
      <c r="I588">
        <v>83</v>
      </c>
      <c r="J588" s="4">
        <f>MAX(Inventory[[#This Row],[Qty On Hand]]-Inventory[[#This Row],[Qty Allocated]],0)</f>
        <v>274</v>
      </c>
      <c r="K588">
        <v>316</v>
      </c>
      <c r="L588" t="s">
        <v>2120</v>
      </c>
      <c r="M588" t="s">
        <v>2121</v>
      </c>
      <c r="N588" t="s">
        <v>1491</v>
      </c>
      <c r="O588" t="s">
        <v>48</v>
      </c>
      <c r="P588" t="s">
        <v>2122</v>
      </c>
      <c r="Q588" t="s">
        <v>92</v>
      </c>
    </row>
    <row r="589" spans="1:17" x14ac:dyDescent="0.25">
      <c r="A589" t="s">
        <v>2109</v>
      </c>
      <c r="B589" t="s">
        <v>1612</v>
      </c>
      <c r="C589" t="s">
        <v>19</v>
      </c>
      <c r="D589" t="s">
        <v>601</v>
      </c>
      <c r="E589" t="s">
        <v>122</v>
      </c>
      <c r="F589" t="s">
        <v>62</v>
      </c>
      <c r="G589">
        <v>63101</v>
      </c>
      <c r="H589">
        <v>812</v>
      </c>
      <c r="I589">
        <v>25</v>
      </c>
      <c r="J589" s="4">
        <f>MAX(Inventory[[#This Row],[Qty On Hand]]-Inventory[[#This Row],[Qty Allocated]],0)</f>
        <v>787</v>
      </c>
      <c r="K589">
        <v>145</v>
      </c>
      <c r="L589" t="s">
        <v>2123</v>
      </c>
      <c r="M589" t="s">
        <v>2124</v>
      </c>
      <c r="N589" t="s">
        <v>2125</v>
      </c>
      <c r="O589" t="s">
        <v>26</v>
      </c>
      <c r="P589" t="s">
        <v>1823</v>
      </c>
      <c r="Q589" t="s">
        <v>34</v>
      </c>
    </row>
    <row r="590" spans="1:17" x14ac:dyDescent="0.25">
      <c r="A590" t="s">
        <v>2109</v>
      </c>
      <c r="B590" t="s">
        <v>1612</v>
      </c>
      <c r="C590" t="s">
        <v>19</v>
      </c>
      <c r="D590" t="s">
        <v>601</v>
      </c>
      <c r="E590" t="s">
        <v>122</v>
      </c>
      <c r="F590" t="s">
        <v>62</v>
      </c>
      <c r="G590">
        <v>63101</v>
      </c>
      <c r="H590">
        <v>884</v>
      </c>
      <c r="I590">
        <v>39</v>
      </c>
      <c r="J590" s="4">
        <f>MAX(Inventory[[#This Row],[Qty On Hand]]-Inventory[[#This Row],[Qty Allocated]],0)</f>
        <v>845</v>
      </c>
      <c r="K590">
        <v>173</v>
      </c>
      <c r="L590" t="s">
        <v>1769</v>
      </c>
      <c r="M590" t="s">
        <v>2126</v>
      </c>
      <c r="N590" t="s">
        <v>2127</v>
      </c>
      <c r="O590" t="s">
        <v>26</v>
      </c>
      <c r="P590" t="s">
        <v>898</v>
      </c>
      <c r="Q590" t="s">
        <v>40</v>
      </c>
    </row>
    <row r="591" spans="1:17" x14ac:dyDescent="0.25">
      <c r="A591" t="s">
        <v>2109</v>
      </c>
      <c r="B591" t="s">
        <v>1612</v>
      </c>
      <c r="C591" t="s">
        <v>19</v>
      </c>
      <c r="D591" t="s">
        <v>601</v>
      </c>
      <c r="E591" t="s">
        <v>122</v>
      </c>
      <c r="F591" t="s">
        <v>83</v>
      </c>
      <c r="G591">
        <v>28202</v>
      </c>
      <c r="H591">
        <v>988</v>
      </c>
      <c r="I591">
        <v>82</v>
      </c>
      <c r="J591" s="4">
        <f>MAX(Inventory[[#This Row],[Qty On Hand]]-Inventory[[#This Row],[Qty Allocated]],0)</f>
        <v>906</v>
      </c>
      <c r="K591">
        <v>273</v>
      </c>
      <c r="L591" t="s">
        <v>2128</v>
      </c>
      <c r="M591" t="s">
        <v>2129</v>
      </c>
      <c r="N591" t="s">
        <v>1497</v>
      </c>
      <c r="O591" t="s">
        <v>26</v>
      </c>
      <c r="P591" t="s">
        <v>2130</v>
      </c>
      <c r="Q591" t="s">
        <v>40</v>
      </c>
    </row>
    <row r="592" spans="1:17" x14ac:dyDescent="0.25">
      <c r="A592" t="s">
        <v>2109</v>
      </c>
      <c r="B592" t="s">
        <v>1612</v>
      </c>
      <c r="C592" t="s">
        <v>19</v>
      </c>
      <c r="D592" t="s">
        <v>601</v>
      </c>
      <c r="E592" t="s">
        <v>122</v>
      </c>
      <c r="F592" t="s">
        <v>83</v>
      </c>
      <c r="G592">
        <v>28202</v>
      </c>
      <c r="H592">
        <v>458</v>
      </c>
      <c r="I592">
        <v>47</v>
      </c>
      <c r="J592" s="4">
        <f>MAX(Inventory[[#This Row],[Qty On Hand]]-Inventory[[#This Row],[Qty Allocated]],0)</f>
        <v>411</v>
      </c>
      <c r="K592">
        <v>325</v>
      </c>
      <c r="L592" t="s">
        <v>1350</v>
      </c>
      <c r="M592" t="s">
        <v>2131</v>
      </c>
      <c r="N592" t="s">
        <v>2132</v>
      </c>
      <c r="O592" t="s">
        <v>26</v>
      </c>
      <c r="P592" t="s">
        <v>2133</v>
      </c>
      <c r="Q592" t="s">
        <v>34</v>
      </c>
    </row>
    <row r="593" spans="1:17" x14ac:dyDescent="0.25">
      <c r="A593" t="s">
        <v>2109</v>
      </c>
      <c r="B593" t="s">
        <v>1612</v>
      </c>
      <c r="C593" t="s">
        <v>19</v>
      </c>
      <c r="D593" t="s">
        <v>601</v>
      </c>
      <c r="E593" t="s">
        <v>122</v>
      </c>
      <c r="F593" t="s">
        <v>83</v>
      </c>
      <c r="G593">
        <v>28202</v>
      </c>
      <c r="H593">
        <v>360</v>
      </c>
      <c r="I593">
        <v>64</v>
      </c>
      <c r="J593" s="4">
        <f>MAX(Inventory[[#This Row],[Qty On Hand]]-Inventory[[#This Row],[Qty Allocated]],0)</f>
        <v>296</v>
      </c>
      <c r="K593">
        <v>248</v>
      </c>
      <c r="L593" t="s">
        <v>2134</v>
      </c>
      <c r="M593" t="s">
        <v>2135</v>
      </c>
      <c r="N593" t="s">
        <v>561</v>
      </c>
      <c r="O593" t="s">
        <v>26</v>
      </c>
      <c r="P593" t="s">
        <v>617</v>
      </c>
      <c r="Q593" t="s">
        <v>92</v>
      </c>
    </row>
    <row r="594" spans="1:17" x14ac:dyDescent="0.25">
      <c r="A594" t="s">
        <v>2136</v>
      </c>
      <c r="B594" t="s">
        <v>1612</v>
      </c>
      <c r="C594" t="s">
        <v>19</v>
      </c>
      <c r="D594" t="s">
        <v>601</v>
      </c>
      <c r="E594" t="s">
        <v>171</v>
      </c>
      <c r="F594" t="s">
        <v>22</v>
      </c>
      <c r="G594">
        <v>94102</v>
      </c>
      <c r="H594">
        <v>7</v>
      </c>
      <c r="I594">
        <v>2</v>
      </c>
      <c r="J594" s="4">
        <f>MAX(Inventory[[#This Row],[Qty On Hand]]-Inventory[[#This Row],[Qty Allocated]],0)</f>
        <v>5</v>
      </c>
      <c r="K594">
        <v>695</v>
      </c>
      <c r="L594" t="s">
        <v>2137</v>
      </c>
      <c r="M594" t="s">
        <v>2138</v>
      </c>
      <c r="N594" t="s">
        <v>2139</v>
      </c>
      <c r="O594" t="s">
        <v>26</v>
      </c>
      <c r="P594" t="s">
        <v>2140</v>
      </c>
      <c r="Q594" t="s">
        <v>28</v>
      </c>
    </row>
    <row r="595" spans="1:17" x14ac:dyDescent="0.25">
      <c r="A595" t="s">
        <v>2136</v>
      </c>
      <c r="B595" t="s">
        <v>1612</v>
      </c>
      <c r="C595" t="s">
        <v>19</v>
      </c>
      <c r="D595" t="s">
        <v>601</v>
      </c>
      <c r="E595" t="s">
        <v>171</v>
      </c>
      <c r="F595" t="s">
        <v>29</v>
      </c>
      <c r="G595">
        <v>98072</v>
      </c>
      <c r="H595">
        <v>2573</v>
      </c>
      <c r="I595">
        <v>73</v>
      </c>
      <c r="J595" s="4">
        <f>MAX(Inventory[[#This Row],[Qty On Hand]]-Inventory[[#This Row],[Qty Allocated]],0)</f>
        <v>2500</v>
      </c>
      <c r="K595">
        <v>521</v>
      </c>
      <c r="L595" t="s">
        <v>2141</v>
      </c>
      <c r="M595" t="s">
        <v>2142</v>
      </c>
      <c r="N595" t="s">
        <v>2143</v>
      </c>
      <c r="O595" t="s">
        <v>26</v>
      </c>
      <c r="P595" t="s">
        <v>2144</v>
      </c>
      <c r="Q595" t="s">
        <v>34</v>
      </c>
    </row>
    <row r="596" spans="1:17" x14ac:dyDescent="0.25">
      <c r="A596" t="s">
        <v>2136</v>
      </c>
      <c r="B596" t="s">
        <v>1612</v>
      </c>
      <c r="C596" t="s">
        <v>19</v>
      </c>
      <c r="D596" t="s">
        <v>601</v>
      </c>
      <c r="E596" t="s">
        <v>171</v>
      </c>
      <c r="F596" t="s">
        <v>35</v>
      </c>
      <c r="G596">
        <v>75201</v>
      </c>
      <c r="H596">
        <v>914</v>
      </c>
      <c r="I596">
        <v>61</v>
      </c>
      <c r="J596" s="4">
        <f>MAX(Inventory[[#This Row],[Qty On Hand]]-Inventory[[#This Row],[Qty Allocated]],0)</f>
        <v>853</v>
      </c>
      <c r="K596">
        <v>311</v>
      </c>
      <c r="L596" t="s">
        <v>2145</v>
      </c>
      <c r="M596" t="s">
        <v>2146</v>
      </c>
      <c r="N596" t="s">
        <v>940</v>
      </c>
      <c r="O596" t="s">
        <v>26</v>
      </c>
      <c r="P596" t="s">
        <v>2147</v>
      </c>
      <c r="Q596" t="s">
        <v>92</v>
      </c>
    </row>
    <row r="597" spans="1:17" x14ac:dyDescent="0.25">
      <c r="A597" t="s">
        <v>2136</v>
      </c>
      <c r="B597" t="s">
        <v>1612</v>
      </c>
      <c r="C597" t="s">
        <v>19</v>
      </c>
      <c r="D597" t="s">
        <v>601</v>
      </c>
      <c r="E597" t="s">
        <v>171</v>
      </c>
      <c r="F597" t="s">
        <v>35</v>
      </c>
      <c r="G597">
        <v>75201</v>
      </c>
      <c r="H597">
        <v>530</v>
      </c>
      <c r="I597">
        <v>53</v>
      </c>
      <c r="J597" s="4">
        <f>MAX(Inventory[[#This Row],[Qty On Hand]]-Inventory[[#This Row],[Qty Allocated]],0)</f>
        <v>477</v>
      </c>
      <c r="K597">
        <v>201</v>
      </c>
      <c r="L597" t="s">
        <v>2148</v>
      </c>
      <c r="M597" t="s">
        <v>2149</v>
      </c>
      <c r="N597" t="s">
        <v>1767</v>
      </c>
      <c r="O597" t="s">
        <v>26</v>
      </c>
      <c r="P597" t="s">
        <v>328</v>
      </c>
      <c r="Q597" t="s">
        <v>92</v>
      </c>
    </row>
    <row r="598" spans="1:17" x14ac:dyDescent="0.25">
      <c r="A598" t="s">
        <v>2136</v>
      </c>
      <c r="B598" t="s">
        <v>1612</v>
      </c>
      <c r="C598" t="s">
        <v>19</v>
      </c>
      <c r="D598" t="s">
        <v>601</v>
      </c>
      <c r="E598" t="s">
        <v>171</v>
      </c>
      <c r="F598" t="s">
        <v>35</v>
      </c>
      <c r="G598">
        <v>75201</v>
      </c>
      <c r="H598">
        <v>527</v>
      </c>
      <c r="I598">
        <v>51</v>
      </c>
      <c r="J598" s="4">
        <f>MAX(Inventory[[#This Row],[Qty On Hand]]-Inventory[[#This Row],[Qty Allocated]],0)</f>
        <v>476</v>
      </c>
      <c r="K598">
        <v>330</v>
      </c>
      <c r="L598" t="s">
        <v>2150</v>
      </c>
      <c r="M598" t="s">
        <v>2151</v>
      </c>
      <c r="N598" t="s">
        <v>1932</v>
      </c>
      <c r="O598" t="s">
        <v>26</v>
      </c>
      <c r="P598" t="s">
        <v>1768</v>
      </c>
      <c r="Q598" t="s">
        <v>40</v>
      </c>
    </row>
    <row r="599" spans="1:17" x14ac:dyDescent="0.25">
      <c r="A599" t="s">
        <v>2136</v>
      </c>
      <c r="B599" t="s">
        <v>1612</v>
      </c>
      <c r="C599" t="s">
        <v>19</v>
      </c>
      <c r="D599" t="s">
        <v>601</v>
      </c>
      <c r="E599" t="s">
        <v>171</v>
      </c>
      <c r="F599" t="s">
        <v>62</v>
      </c>
      <c r="G599">
        <v>63101</v>
      </c>
      <c r="H599">
        <v>940</v>
      </c>
      <c r="I599">
        <v>92</v>
      </c>
      <c r="J599" s="4">
        <f>MAX(Inventory[[#This Row],[Qty On Hand]]-Inventory[[#This Row],[Qty Allocated]],0)</f>
        <v>848</v>
      </c>
      <c r="K599">
        <v>253</v>
      </c>
      <c r="L599" t="s">
        <v>2152</v>
      </c>
      <c r="M599" t="s">
        <v>2153</v>
      </c>
      <c r="N599" t="s">
        <v>2154</v>
      </c>
      <c r="O599" t="s">
        <v>26</v>
      </c>
      <c r="P599" t="s">
        <v>1809</v>
      </c>
      <c r="Q599" t="s">
        <v>34</v>
      </c>
    </row>
    <row r="600" spans="1:17" x14ac:dyDescent="0.25">
      <c r="A600" t="s">
        <v>2136</v>
      </c>
      <c r="B600" t="s">
        <v>1612</v>
      </c>
      <c r="C600" t="s">
        <v>19</v>
      </c>
      <c r="D600" t="s">
        <v>601</v>
      </c>
      <c r="E600" t="s">
        <v>171</v>
      </c>
      <c r="F600" t="s">
        <v>62</v>
      </c>
      <c r="G600">
        <v>63101</v>
      </c>
      <c r="H600">
        <v>337</v>
      </c>
      <c r="I600">
        <v>42</v>
      </c>
      <c r="J600" s="4">
        <f>MAX(Inventory[[#This Row],[Qty On Hand]]-Inventory[[#This Row],[Qty Allocated]],0)</f>
        <v>295</v>
      </c>
      <c r="K600">
        <v>371</v>
      </c>
      <c r="L600" t="s">
        <v>2155</v>
      </c>
      <c r="M600" t="s">
        <v>2156</v>
      </c>
      <c r="N600" t="s">
        <v>1636</v>
      </c>
      <c r="O600" t="s">
        <v>26</v>
      </c>
      <c r="P600" t="s">
        <v>687</v>
      </c>
      <c r="Q600" t="s">
        <v>40</v>
      </c>
    </row>
    <row r="601" spans="1:17" x14ac:dyDescent="0.25">
      <c r="A601" t="s">
        <v>2136</v>
      </c>
      <c r="B601" t="s">
        <v>1612</v>
      </c>
      <c r="C601" t="s">
        <v>19</v>
      </c>
      <c r="D601" t="s">
        <v>601</v>
      </c>
      <c r="E601" t="s">
        <v>171</v>
      </c>
      <c r="F601" t="s">
        <v>62</v>
      </c>
      <c r="G601">
        <v>63101</v>
      </c>
      <c r="H601">
        <v>239</v>
      </c>
      <c r="I601">
        <v>50</v>
      </c>
      <c r="J601" s="4">
        <f>MAX(Inventory[[#This Row],[Qty On Hand]]-Inventory[[#This Row],[Qty Allocated]],0)</f>
        <v>189</v>
      </c>
      <c r="K601">
        <v>165</v>
      </c>
      <c r="L601" t="s">
        <v>2157</v>
      </c>
      <c r="M601" t="s">
        <v>2158</v>
      </c>
      <c r="N601" t="s">
        <v>557</v>
      </c>
      <c r="O601" t="s">
        <v>48</v>
      </c>
      <c r="P601" t="s">
        <v>2159</v>
      </c>
      <c r="Q601" t="s">
        <v>34</v>
      </c>
    </row>
    <row r="602" spans="1:17" x14ac:dyDescent="0.25">
      <c r="A602" t="s">
        <v>2136</v>
      </c>
      <c r="B602" t="s">
        <v>1612</v>
      </c>
      <c r="C602" t="s">
        <v>19</v>
      </c>
      <c r="D602" t="s">
        <v>601</v>
      </c>
      <c r="E602" t="s">
        <v>171</v>
      </c>
      <c r="F602" t="s">
        <v>83</v>
      </c>
      <c r="G602">
        <v>28202</v>
      </c>
      <c r="H602">
        <v>654</v>
      </c>
      <c r="I602">
        <v>55</v>
      </c>
      <c r="J602" s="4">
        <f>MAX(Inventory[[#This Row],[Qty On Hand]]-Inventory[[#This Row],[Qty Allocated]],0)</f>
        <v>599</v>
      </c>
      <c r="K602">
        <v>348</v>
      </c>
      <c r="L602" t="s">
        <v>2160</v>
      </c>
      <c r="M602" t="s">
        <v>2161</v>
      </c>
      <c r="N602" t="s">
        <v>2162</v>
      </c>
      <c r="O602" t="s">
        <v>48</v>
      </c>
      <c r="P602" t="s">
        <v>613</v>
      </c>
      <c r="Q602" t="s">
        <v>40</v>
      </c>
    </row>
    <row r="603" spans="1:17" x14ac:dyDescent="0.25">
      <c r="A603" t="s">
        <v>2136</v>
      </c>
      <c r="B603" t="s">
        <v>1612</v>
      </c>
      <c r="C603" t="s">
        <v>19</v>
      </c>
      <c r="D603" t="s">
        <v>601</v>
      </c>
      <c r="E603" t="s">
        <v>171</v>
      </c>
      <c r="F603" t="s">
        <v>83</v>
      </c>
      <c r="G603">
        <v>28202</v>
      </c>
      <c r="H603">
        <v>760</v>
      </c>
      <c r="I603">
        <v>43</v>
      </c>
      <c r="J603" s="4">
        <f>MAX(Inventory[[#This Row],[Qty On Hand]]-Inventory[[#This Row],[Qty Allocated]],0)</f>
        <v>717</v>
      </c>
      <c r="K603">
        <v>314</v>
      </c>
      <c r="L603" t="s">
        <v>2163</v>
      </c>
      <c r="M603" t="s">
        <v>2164</v>
      </c>
      <c r="N603" t="s">
        <v>335</v>
      </c>
      <c r="O603" t="s">
        <v>26</v>
      </c>
      <c r="P603" t="s">
        <v>2165</v>
      </c>
      <c r="Q603" t="s">
        <v>34</v>
      </c>
    </row>
    <row r="604" spans="1:17" x14ac:dyDescent="0.25">
      <c r="A604" t="s">
        <v>2136</v>
      </c>
      <c r="B604" t="s">
        <v>1612</v>
      </c>
      <c r="C604" t="s">
        <v>19</v>
      </c>
      <c r="D604" t="s">
        <v>601</v>
      </c>
      <c r="E604" t="s">
        <v>171</v>
      </c>
      <c r="F604" t="s">
        <v>83</v>
      </c>
      <c r="G604">
        <v>28202</v>
      </c>
      <c r="H604">
        <v>565</v>
      </c>
      <c r="I604">
        <v>42</v>
      </c>
      <c r="J604" s="4">
        <f>MAX(Inventory[[#This Row],[Qty On Hand]]-Inventory[[#This Row],[Qty Allocated]],0)</f>
        <v>523</v>
      </c>
      <c r="K604">
        <v>359</v>
      </c>
      <c r="L604" t="s">
        <v>2166</v>
      </c>
      <c r="M604" t="s">
        <v>2167</v>
      </c>
      <c r="N604" t="s">
        <v>1371</v>
      </c>
      <c r="O604" t="s">
        <v>26</v>
      </c>
      <c r="P604" t="s">
        <v>2168</v>
      </c>
      <c r="Q604" t="s">
        <v>28</v>
      </c>
    </row>
    <row r="605" spans="1:17" x14ac:dyDescent="0.25">
      <c r="A605" t="s">
        <v>2169</v>
      </c>
      <c r="B605" t="s">
        <v>2170</v>
      </c>
      <c r="C605" t="s">
        <v>2171</v>
      </c>
      <c r="D605" t="s">
        <v>2172</v>
      </c>
      <c r="E605" t="s">
        <v>21</v>
      </c>
      <c r="F605" t="s">
        <v>22</v>
      </c>
      <c r="G605">
        <v>94102</v>
      </c>
      <c r="H605">
        <v>6</v>
      </c>
      <c r="I605">
        <v>1</v>
      </c>
      <c r="J605" s="4">
        <f>MAX(Inventory[[#This Row],[Qty On Hand]]-Inventory[[#This Row],[Qty Allocated]],0)</f>
        <v>5</v>
      </c>
      <c r="K605">
        <v>277</v>
      </c>
      <c r="L605" t="s">
        <v>2173</v>
      </c>
      <c r="M605" t="s">
        <v>2174</v>
      </c>
      <c r="N605" t="s">
        <v>2175</v>
      </c>
      <c r="O605" t="s">
        <v>26</v>
      </c>
      <c r="P605" t="s">
        <v>1111</v>
      </c>
      <c r="Q605" t="s">
        <v>34</v>
      </c>
    </row>
    <row r="606" spans="1:17" x14ac:dyDescent="0.25">
      <c r="A606" t="s">
        <v>2169</v>
      </c>
      <c r="B606" t="s">
        <v>2170</v>
      </c>
      <c r="C606" t="s">
        <v>2171</v>
      </c>
      <c r="D606" t="s">
        <v>2172</v>
      </c>
      <c r="E606" t="s">
        <v>21</v>
      </c>
      <c r="F606" t="s">
        <v>29</v>
      </c>
      <c r="G606">
        <v>98072</v>
      </c>
      <c r="H606">
        <v>577</v>
      </c>
      <c r="I606">
        <v>13</v>
      </c>
      <c r="J606" s="4">
        <f>MAX(Inventory[[#This Row],[Qty On Hand]]-Inventory[[#This Row],[Qty Allocated]],0)</f>
        <v>564</v>
      </c>
      <c r="K606">
        <v>435</v>
      </c>
      <c r="L606" t="s">
        <v>2176</v>
      </c>
      <c r="M606" t="s">
        <v>2177</v>
      </c>
      <c r="N606" t="s">
        <v>2178</v>
      </c>
      <c r="O606" t="s">
        <v>26</v>
      </c>
      <c r="P606" t="s">
        <v>1580</v>
      </c>
      <c r="Q606" t="s">
        <v>92</v>
      </c>
    </row>
    <row r="607" spans="1:17" x14ac:dyDescent="0.25">
      <c r="A607" t="s">
        <v>2169</v>
      </c>
      <c r="B607" t="s">
        <v>2170</v>
      </c>
      <c r="C607" t="s">
        <v>2171</v>
      </c>
      <c r="D607" t="s">
        <v>2172</v>
      </c>
      <c r="E607" t="s">
        <v>21</v>
      </c>
      <c r="F607" t="s">
        <v>35</v>
      </c>
      <c r="G607">
        <v>75201</v>
      </c>
      <c r="H607">
        <v>465</v>
      </c>
      <c r="I607">
        <v>82</v>
      </c>
      <c r="J607" s="4">
        <f>MAX(Inventory[[#This Row],[Qty On Hand]]-Inventory[[#This Row],[Qty Allocated]],0)</f>
        <v>383</v>
      </c>
      <c r="K607">
        <v>275</v>
      </c>
      <c r="L607" t="s">
        <v>2179</v>
      </c>
      <c r="M607" t="s">
        <v>2180</v>
      </c>
      <c r="N607" t="s">
        <v>2181</v>
      </c>
      <c r="O607" t="s">
        <v>26</v>
      </c>
      <c r="P607" t="s">
        <v>2182</v>
      </c>
      <c r="Q607" t="s">
        <v>92</v>
      </c>
    </row>
    <row r="608" spans="1:17" x14ac:dyDescent="0.25">
      <c r="A608" t="s">
        <v>2169</v>
      </c>
      <c r="B608" t="s">
        <v>2170</v>
      </c>
      <c r="C608" t="s">
        <v>2171</v>
      </c>
      <c r="D608" t="s">
        <v>2172</v>
      </c>
      <c r="E608" t="s">
        <v>21</v>
      </c>
      <c r="F608" t="s">
        <v>35</v>
      </c>
      <c r="G608">
        <v>75201</v>
      </c>
      <c r="H608">
        <v>975</v>
      </c>
      <c r="I608">
        <v>13</v>
      </c>
      <c r="J608" s="4">
        <f>MAX(Inventory[[#This Row],[Qty On Hand]]-Inventory[[#This Row],[Qty Allocated]],0)</f>
        <v>962</v>
      </c>
      <c r="K608">
        <v>335</v>
      </c>
      <c r="L608" t="s">
        <v>2183</v>
      </c>
      <c r="M608" t="s">
        <v>2184</v>
      </c>
      <c r="N608" t="s">
        <v>2185</v>
      </c>
      <c r="O608" t="s">
        <v>26</v>
      </c>
      <c r="P608" t="s">
        <v>1431</v>
      </c>
      <c r="Q608" t="s">
        <v>34</v>
      </c>
    </row>
    <row r="609" spans="1:17" x14ac:dyDescent="0.25">
      <c r="A609" t="s">
        <v>2169</v>
      </c>
      <c r="B609" t="s">
        <v>2170</v>
      </c>
      <c r="C609" t="s">
        <v>2171</v>
      </c>
      <c r="D609" t="s">
        <v>2172</v>
      </c>
      <c r="E609" t="s">
        <v>21</v>
      </c>
      <c r="F609" t="s">
        <v>35</v>
      </c>
      <c r="G609">
        <v>75201</v>
      </c>
      <c r="H609">
        <v>249</v>
      </c>
      <c r="I609">
        <v>55</v>
      </c>
      <c r="J609" s="4">
        <f>MAX(Inventory[[#This Row],[Qty On Hand]]-Inventory[[#This Row],[Qty Allocated]],0)</f>
        <v>194</v>
      </c>
      <c r="K609">
        <v>216</v>
      </c>
      <c r="L609" t="s">
        <v>2186</v>
      </c>
      <c r="M609" t="s">
        <v>2187</v>
      </c>
      <c r="N609" t="s">
        <v>137</v>
      </c>
      <c r="O609" t="s">
        <v>48</v>
      </c>
      <c r="P609" t="s">
        <v>2188</v>
      </c>
      <c r="Q609" t="s">
        <v>92</v>
      </c>
    </row>
    <row r="610" spans="1:17" x14ac:dyDescent="0.25">
      <c r="A610" t="s">
        <v>2169</v>
      </c>
      <c r="B610" t="s">
        <v>2170</v>
      </c>
      <c r="C610" t="s">
        <v>2171</v>
      </c>
      <c r="D610" t="s">
        <v>2172</v>
      </c>
      <c r="E610" t="s">
        <v>21</v>
      </c>
      <c r="F610" t="s">
        <v>35</v>
      </c>
      <c r="G610">
        <v>75201</v>
      </c>
      <c r="H610">
        <v>583</v>
      </c>
      <c r="I610">
        <v>21</v>
      </c>
      <c r="J610" s="4">
        <f>MAX(Inventory[[#This Row],[Qty On Hand]]-Inventory[[#This Row],[Qty Allocated]],0)</f>
        <v>562</v>
      </c>
      <c r="K610">
        <v>304</v>
      </c>
      <c r="L610" t="s">
        <v>2189</v>
      </c>
      <c r="M610" t="s">
        <v>2190</v>
      </c>
      <c r="N610" t="s">
        <v>514</v>
      </c>
      <c r="O610" t="s">
        <v>26</v>
      </c>
      <c r="P610" t="s">
        <v>2191</v>
      </c>
      <c r="Q610" t="s">
        <v>40</v>
      </c>
    </row>
    <row r="611" spans="1:17" x14ac:dyDescent="0.25">
      <c r="A611" t="s">
        <v>2169</v>
      </c>
      <c r="B611" t="s">
        <v>2170</v>
      </c>
      <c r="C611" t="s">
        <v>2171</v>
      </c>
      <c r="D611" t="s">
        <v>2172</v>
      </c>
      <c r="E611" t="s">
        <v>21</v>
      </c>
      <c r="F611" t="s">
        <v>35</v>
      </c>
      <c r="G611">
        <v>75201</v>
      </c>
      <c r="H611">
        <v>494</v>
      </c>
      <c r="I611">
        <v>73</v>
      </c>
      <c r="J611" s="4">
        <f>MAX(Inventory[[#This Row],[Qty On Hand]]-Inventory[[#This Row],[Qty Allocated]],0)</f>
        <v>421</v>
      </c>
      <c r="K611">
        <v>164</v>
      </c>
      <c r="L611" t="s">
        <v>2192</v>
      </c>
      <c r="M611" t="s">
        <v>2193</v>
      </c>
      <c r="N611" t="s">
        <v>2108</v>
      </c>
      <c r="O611" t="s">
        <v>48</v>
      </c>
      <c r="P611" t="s">
        <v>941</v>
      </c>
      <c r="Q611" t="s">
        <v>34</v>
      </c>
    </row>
    <row r="612" spans="1:17" x14ac:dyDescent="0.25">
      <c r="A612" t="s">
        <v>2169</v>
      </c>
      <c r="B612" t="s">
        <v>2170</v>
      </c>
      <c r="C612" t="s">
        <v>2171</v>
      </c>
      <c r="D612" t="s">
        <v>2172</v>
      </c>
      <c r="E612" t="s">
        <v>21</v>
      </c>
      <c r="F612" t="s">
        <v>35</v>
      </c>
      <c r="G612">
        <v>75201</v>
      </c>
      <c r="H612">
        <v>263</v>
      </c>
      <c r="I612">
        <v>7</v>
      </c>
      <c r="J612" s="4">
        <f>MAX(Inventory[[#This Row],[Qty On Hand]]-Inventory[[#This Row],[Qty Allocated]],0)</f>
        <v>256</v>
      </c>
      <c r="K612">
        <v>175</v>
      </c>
      <c r="L612" t="s">
        <v>2194</v>
      </c>
      <c r="M612" t="s">
        <v>2195</v>
      </c>
      <c r="N612" t="s">
        <v>2196</v>
      </c>
      <c r="O612" t="s">
        <v>48</v>
      </c>
      <c r="P612" t="s">
        <v>402</v>
      </c>
      <c r="Q612" t="s">
        <v>34</v>
      </c>
    </row>
    <row r="613" spans="1:17" x14ac:dyDescent="0.25">
      <c r="A613" t="s">
        <v>2169</v>
      </c>
      <c r="B613" t="s">
        <v>2170</v>
      </c>
      <c r="C613" t="s">
        <v>2171</v>
      </c>
      <c r="D613" t="s">
        <v>2172</v>
      </c>
      <c r="E613" t="s">
        <v>21</v>
      </c>
      <c r="F613" t="s">
        <v>62</v>
      </c>
      <c r="G613">
        <v>63101</v>
      </c>
      <c r="H613">
        <v>651</v>
      </c>
      <c r="I613">
        <v>3</v>
      </c>
      <c r="J613" s="4">
        <f>MAX(Inventory[[#This Row],[Qty On Hand]]-Inventory[[#This Row],[Qty Allocated]],0)</f>
        <v>648</v>
      </c>
      <c r="K613">
        <v>125</v>
      </c>
      <c r="L613" t="s">
        <v>1722</v>
      </c>
      <c r="M613" t="s">
        <v>2197</v>
      </c>
      <c r="N613" t="s">
        <v>1114</v>
      </c>
      <c r="O613" t="s">
        <v>26</v>
      </c>
      <c r="P613" t="s">
        <v>2198</v>
      </c>
      <c r="Q613" t="s">
        <v>40</v>
      </c>
    </row>
    <row r="614" spans="1:17" x14ac:dyDescent="0.25">
      <c r="A614" t="s">
        <v>2169</v>
      </c>
      <c r="B614" t="s">
        <v>2170</v>
      </c>
      <c r="C614" t="s">
        <v>2171</v>
      </c>
      <c r="D614" t="s">
        <v>2172</v>
      </c>
      <c r="E614" t="s">
        <v>21</v>
      </c>
      <c r="F614" t="s">
        <v>62</v>
      </c>
      <c r="G614">
        <v>63101</v>
      </c>
      <c r="H614">
        <v>889</v>
      </c>
      <c r="I614">
        <v>0</v>
      </c>
      <c r="J614" s="4">
        <f>MAX(Inventory[[#This Row],[Qty On Hand]]-Inventory[[#This Row],[Qty Allocated]],0)</f>
        <v>889</v>
      </c>
      <c r="K614">
        <v>186</v>
      </c>
      <c r="L614" t="s">
        <v>2199</v>
      </c>
      <c r="M614" t="s">
        <v>2200</v>
      </c>
      <c r="N614" t="s">
        <v>2201</v>
      </c>
      <c r="O614" t="s">
        <v>26</v>
      </c>
      <c r="P614" t="s">
        <v>1342</v>
      </c>
      <c r="Q614" t="s">
        <v>92</v>
      </c>
    </row>
    <row r="615" spans="1:17" x14ac:dyDescent="0.25">
      <c r="A615" t="s">
        <v>2169</v>
      </c>
      <c r="B615" t="s">
        <v>2170</v>
      </c>
      <c r="C615" t="s">
        <v>2171</v>
      </c>
      <c r="D615" t="s">
        <v>2172</v>
      </c>
      <c r="E615" t="s">
        <v>21</v>
      </c>
      <c r="F615" t="s">
        <v>62</v>
      </c>
      <c r="G615">
        <v>63101</v>
      </c>
      <c r="H615">
        <v>878</v>
      </c>
      <c r="I615">
        <v>10</v>
      </c>
      <c r="J615" s="4">
        <f>MAX(Inventory[[#This Row],[Qty On Hand]]-Inventory[[#This Row],[Qty Allocated]],0)</f>
        <v>868</v>
      </c>
      <c r="K615">
        <v>202</v>
      </c>
      <c r="L615" t="s">
        <v>2202</v>
      </c>
      <c r="M615" t="s">
        <v>2203</v>
      </c>
      <c r="N615" t="s">
        <v>2204</v>
      </c>
      <c r="O615" t="s">
        <v>48</v>
      </c>
      <c r="P615" t="s">
        <v>2133</v>
      </c>
      <c r="Q615" t="s">
        <v>34</v>
      </c>
    </row>
    <row r="616" spans="1:17" x14ac:dyDescent="0.25">
      <c r="A616" t="s">
        <v>2169</v>
      </c>
      <c r="B616" t="s">
        <v>2170</v>
      </c>
      <c r="C616" t="s">
        <v>2171</v>
      </c>
      <c r="D616" t="s">
        <v>2172</v>
      </c>
      <c r="E616" t="s">
        <v>21</v>
      </c>
      <c r="F616" t="s">
        <v>62</v>
      </c>
      <c r="G616">
        <v>63101</v>
      </c>
      <c r="H616">
        <v>723</v>
      </c>
      <c r="I616">
        <v>23</v>
      </c>
      <c r="J616" s="4">
        <f>MAX(Inventory[[#This Row],[Qty On Hand]]-Inventory[[#This Row],[Qty Allocated]],0)</f>
        <v>700</v>
      </c>
      <c r="K616">
        <v>110</v>
      </c>
      <c r="L616" t="s">
        <v>2205</v>
      </c>
      <c r="M616" t="s">
        <v>2206</v>
      </c>
      <c r="N616" t="s">
        <v>2207</v>
      </c>
      <c r="O616" t="s">
        <v>26</v>
      </c>
      <c r="P616" t="s">
        <v>1081</v>
      </c>
      <c r="Q616" t="s">
        <v>92</v>
      </c>
    </row>
    <row r="617" spans="1:17" x14ac:dyDescent="0.25">
      <c r="A617" t="s">
        <v>2169</v>
      </c>
      <c r="B617" t="s">
        <v>2170</v>
      </c>
      <c r="C617" t="s">
        <v>2171</v>
      </c>
      <c r="D617" t="s">
        <v>2172</v>
      </c>
      <c r="E617" t="s">
        <v>21</v>
      </c>
      <c r="F617" t="s">
        <v>83</v>
      </c>
      <c r="G617">
        <v>28202</v>
      </c>
      <c r="H617">
        <v>823</v>
      </c>
      <c r="I617">
        <v>57</v>
      </c>
      <c r="J617" s="4">
        <f>MAX(Inventory[[#This Row],[Qty On Hand]]-Inventory[[#This Row],[Qty Allocated]],0)</f>
        <v>766</v>
      </c>
      <c r="K617">
        <v>126</v>
      </c>
      <c r="L617" t="s">
        <v>2208</v>
      </c>
      <c r="M617" t="s">
        <v>2209</v>
      </c>
      <c r="N617" t="s">
        <v>1553</v>
      </c>
      <c r="O617" t="s">
        <v>26</v>
      </c>
      <c r="P617" t="s">
        <v>1200</v>
      </c>
      <c r="Q617" t="s">
        <v>92</v>
      </c>
    </row>
    <row r="618" spans="1:17" x14ac:dyDescent="0.25">
      <c r="A618" t="s">
        <v>2169</v>
      </c>
      <c r="B618" t="s">
        <v>2170</v>
      </c>
      <c r="C618" t="s">
        <v>2171</v>
      </c>
      <c r="D618" t="s">
        <v>2172</v>
      </c>
      <c r="E618" t="s">
        <v>21</v>
      </c>
      <c r="F618" t="s">
        <v>83</v>
      </c>
      <c r="G618">
        <v>28202</v>
      </c>
      <c r="H618">
        <v>639</v>
      </c>
      <c r="I618">
        <v>31</v>
      </c>
      <c r="J618" s="4">
        <f>MAX(Inventory[[#This Row],[Qty On Hand]]-Inventory[[#This Row],[Qty Allocated]],0)</f>
        <v>608</v>
      </c>
      <c r="K618">
        <v>160</v>
      </c>
      <c r="L618" t="s">
        <v>2210</v>
      </c>
      <c r="M618" t="s">
        <v>2211</v>
      </c>
      <c r="N618" t="s">
        <v>2212</v>
      </c>
      <c r="O618" t="s">
        <v>26</v>
      </c>
      <c r="P618" t="s">
        <v>960</v>
      </c>
      <c r="Q618" t="s">
        <v>92</v>
      </c>
    </row>
    <row r="619" spans="1:17" x14ac:dyDescent="0.25">
      <c r="A619" t="s">
        <v>2169</v>
      </c>
      <c r="B619" t="s">
        <v>2170</v>
      </c>
      <c r="C619" t="s">
        <v>2171</v>
      </c>
      <c r="D619" t="s">
        <v>2172</v>
      </c>
      <c r="E619" t="s">
        <v>21</v>
      </c>
      <c r="F619" t="s">
        <v>83</v>
      </c>
      <c r="G619">
        <v>28202</v>
      </c>
      <c r="H619">
        <v>771</v>
      </c>
      <c r="I619">
        <v>49</v>
      </c>
      <c r="J619" s="4">
        <f>MAX(Inventory[[#This Row],[Qty On Hand]]-Inventory[[#This Row],[Qty Allocated]],0)</f>
        <v>722</v>
      </c>
      <c r="K619">
        <v>276</v>
      </c>
      <c r="L619" t="s">
        <v>2213</v>
      </c>
      <c r="M619" t="s">
        <v>2214</v>
      </c>
      <c r="N619" t="s">
        <v>133</v>
      </c>
      <c r="O619" t="s">
        <v>26</v>
      </c>
      <c r="P619" t="s">
        <v>2215</v>
      </c>
      <c r="Q619" t="s">
        <v>40</v>
      </c>
    </row>
    <row r="620" spans="1:17" x14ac:dyDescent="0.25">
      <c r="A620" t="s">
        <v>2169</v>
      </c>
      <c r="B620" t="s">
        <v>2170</v>
      </c>
      <c r="C620" t="s">
        <v>2171</v>
      </c>
      <c r="D620" t="s">
        <v>2172</v>
      </c>
      <c r="E620" t="s">
        <v>21</v>
      </c>
      <c r="F620" t="s">
        <v>83</v>
      </c>
      <c r="G620">
        <v>28202</v>
      </c>
      <c r="H620">
        <v>879</v>
      </c>
      <c r="I620">
        <v>88</v>
      </c>
      <c r="J620" s="4">
        <f>MAX(Inventory[[#This Row],[Qty On Hand]]-Inventory[[#This Row],[Qty Allocated]],0)</f>
        <v>791</v>
      </c>
      <c r="K620">
        <v>244</v>
      </c>
      <c r="L620" t="s">
        <v>2216</v>
      </c>
      <c r="M620" t="s">
        <v>2217</v>
      </c>
      <c r="N620" t="s">
        <v>2218</v>
      </c>
      <c r="O620" t="s">
        <v>48</v>
      </c>
      <c r="P620" t="s">
        <v>2219</v>
      </c>
      <c r="Q620" t="s">
        <v>28</v>
      </c>
    </row>
    <row r="621" spans="1:17" x14ac:dyDescent="0.25">
      <c r="A621" t="s">
        <v>2220</v>
      </c>
      <c r="B621" t="s">
        <v>2170</v>
      </c>
      <c r="C621" t="s">
        <v>2171</v>
      </c>
      <c r="D621" t="s">
        <v>2172</v>
      </c>
      <c r="E621" t="s">
        <v>122</v>
      </c>
      <c r="F621" t="s">
        <v>35</v>
      </c>
      <c r="G621">
        <v>75201</v>
      </c>
      <c r="H621">
        <v>706</v>
      </c>
      <c r="I621">
        <v>25</v>
      </c>
      <c r="J621" s="4">
        <f>MAX(Inventory[[#This Row],[Qty On Hand]]-Inventory[[#This Row],[Qty Allocated]],0)</f>
        <v>681</v>
      </c>
      <c r="K621">
        <v>273</v>
      </c>
      <c r="L621" t="s">
        <v>2221</v>
      </c>
      <c r="M621" t="s">
        <v>2222</v>
      </c>
      <c r="N621" t="s">
        <v>2223</v>
      </c>
      <c r="O621" t="s">
        <v>26</v>
      </c>
      <c r="P621" t="s">
        <v>2224</v>
      </c>
      <c r="Q621" t="s">
        <v>34</v>
      </c>
    </row>
    <row r="622" spans="1:17" x14ac:dyDescent="0.25">
      <c r="A622" t="s">
        <v>2220</v>
      </c>
      <c r="B622" t="s">
        <v>2170</v>
      </c>
      <c r="C622" t="s">
        <v>2171</v>
      </c>
      <c r="D622" t="s">
        <v>2172</v>
      </c>
      <c r="E622" t="s">
        <v>122</v>
      </c>
      <c r="F622" t="s">
        <v>35</v>
      </c>
      <c r="G622">
        <v>75201</v>
      </c>
      <c r="H622">
        <v>970</v>
      </c>
      <c r="I622">
        <v>1</v>
      </c>
      <c r="J622" s="4">
        <f>MAX(Inventory[[#This Row],[Qty On Hand]]-Inventory[[#This Row],[Qty Allocated]],0)</f>
        <v>969</v>
      </c>
      <c r="K622">
        <v>133</v>
      </c>
      <c r="L622" t="s">
        <v>2225</v>
      </c>
      <c r="M622" t="s">
        <v>2226</v>
      </c>
      <c r="N622" t="s">
        <v>1015</v>
      </c>
      <c r="O622" t="s">
        <v>26</v>
      </c>
      <c r="P622" t="s">
        <v>2227</v>
      </c>
      <c r="Q622" t="s">
        <v>34</v>
      </c>
    </row>
    <row r="623" spans="1:17" x14ac:dyDescent="0.25">
      <c r="A623" t="s">
        <v>2220</v>
      </c>
      <c r="B623" t="s">
        <v>2170</v>
      </c>
      <c r="C623" t="s">
        <v>2171</v>
      </c>
      <c r="D623" t="s">
        <v>2172</v>
      </c>
      <c r="E623" t="s">
        <v>122</v>
      </c>
      <c r="F623" t="s">
        <v>35</v>
      </c>
      <c r="G623">
        <v>75201</v>
      </c>
      <c r="H623">
        <v>821</v>
      </c>
      <c r="I623">
        <v>30</v>
      </c>
      <c r="J623" s="4">
        <f>MAX(Inventory[[#This Row],[Qty On Hand]]-Inventory[[#This Row],[Qty Allocated]],0)</f>
        <v>791</v>
      </c>
      <c r="K623">
        <v>269</v>
      </c>
      <c r="L623" t="s">
        <v>2228</v>
      </c>
      <c r="M623" t="s">
        <v>2229</v>
      </c>
      <c r="N623" t="s">
        <v>2230</v>
      </c>
      <c r="O623" t="s">
        <v>48</v>
      </c>
      <c r="P623" t="s">
        <v>1681</v>
      </c>
      <c r="Q623" t="s">
        <v>92</v>
      </c>
    </row>
    <row r="624" spans="1:17" x14ac:dyDescent="0.25">
      <c r="A624" t="s">
        <v>2220</v>
      </c>
      <c r="B624" t="s">
        <v>2170</v>
      </c>
      <c r="C624" t="s">
        <v>2171</v>
      </c>
      <c r="D624" t="s">
        <v>2172</v>
      </c>
      <c r="E624" t="s">
        <v>122</v>
      </c>
      <c r="F624" t="s">
        <v>62</v>
      </c>
      <c r="G624">
        <v>63101</v>
      </c>
      <c r="H624">
        <v>730</v>
      </c>
      <c r="I624">
        <v>72</v>
      </c>
      <c r="J624" s="4">
        <f>MAX(Inventory[[#This Row],[Qty On Hand]]-Inventory[[#This Row],[Qty Allocated]],0)</f>
        <v>658</v>
      </c>
      <c r="K624">
        <v>347</v>
      </c>
      <c r="L624" t="s">
        <v>2231</v>
      </c>
      <c r="M624" t="s">
        <v>2232</v>
      </c>
      <c r="N624" t="s">
        <v>1011</v>
      </c>
      <c r="O624" t="s">
        <v>26</v>
      </c>
      <c r="P624" t="s">
        <v>2233</v>
      </c>
      <c r="Q624" t="s">
        <v>92</v>
      </c>
    </row>
    <row r="625" spans="1:17" x14ac:dyDescent="0.25">
      <c r="A625" t="s">
        <v>2220</v>
      </c>
      <c r="B625" t="s">
        <v>2170</v>
      </c>
      <c r="C625" t="s">
        <v>2171</v>
      </c>
      <c r="D625" t="s">
        <v>2172</v>
      </c>
      <c r="E625" t="s">
        <v>122</v>
      </c>
      <c r="F625" t="s">
        <v>62</v>
      </c>
      <c r="G625">
        <v>63101</v>
      </c>
      <c r="H625">
        <v>990</v>
      </c>
      <c r="I625">
        <v>30</v>
      </c>
      <c r="J625" s="4">
        <f>MAX(Inventory[[#This Row],[Qty On Hand]]-Inventory[[#This Row],[Qty Allocated]],0)</f>
        <v>960</v>
      </c>
      <c r="K625">
        <v>238</v>
      </c>
      <c r="L625" t="s">
        <v>2234</v>
      </c>
      <c r="M625" t="s">
        <v>2235</v>
      </c>
      <c r="N625" t="s">
        <v>1052</v>
      </c>
      <c r="O625" t="s">
        <v>26</v>
      </c>
      <c r="P625" t="s">
        <v>834</v>
      </c>
      <c r="Q625" t="s">
        <v>40</v>
      </c>
    </row>
    <row r="626" spans="1:17" x14ac:dyDescent="0.25">
      <c r="A626" t="s">
        <v>2220</v>
      </c>
      <c r="B626" t="s">
        <v>2170</v>
      </c>
      <c r="C626" t="s">
        <v>2171</v>
      </c>
      <c r="D626" t="s">
        <v>2172</v>
      </c>
      <c r="E626" t="s">
        <v>122</v>
      </c>
      <c r="F626" t="s">
        <v>62</v>
      </c>
      <c r="G626">
        <v>63101</v>
      </c>
      <c r="H626">
        <v>520</v>
      </c>
      <c r="I626">
        <v>89</v>
      </c>
      <c r="J626" s="4">
        <f>MAX(Inventory[[#This Row],[Qty On Hand]]-Inventory[[#This Row],[Qty Allocated]],0)</f>
        <v>431</v>
      </c>
      <c r="K626">
        <v>303</v>
      </c>
      <c r="L626" t="s">
        <v>2236</v>
      </c>
      <c r="M626" t="s">
        <v>2237</v>
      </c>
      <c r="N626" t="s">
        <v>2238</v>
      </c>
      <c r="O626" t="s">
        <v>26</v>
      </c>
      <c r="P626" t="s">
        <v>902</v>
      </c>
      <c r="Q626" t="s">
        <v>40</v>
      </c>
    </row>
    <row r="627" spans="1:17" x14ac:dyDescent="0.25">
      <c r="A627" t="s">
        <v>2220</v>
      </c>
      <c r="B627" t="s">
        <v>2170</v>
      </c>
      <c r="C627" t="s">
        <v>2171</v>
      </c>
      <c r="D627" t="s">
        <v>2172</v>
      </c>
      <c r="E627" t="s">
        <v>122</v>
      </c>
      <c r="F627" t="s">
        <v>62</v>
      </c>
      <c r="G627">
        <v>63101</v>
      </c>
      <c r="H627">
        <v>640</v>
      </c>
      <c r="I627">
        <v>78</v>
      </c>
      <c r="J627" s="4">
        <f>MAX(Inventory[[#This Row],[Qty On Hand]]-Inventory[[#This Row],[Qty Allocated]],0)</f>
        <v>562</v>
      </c>
      <c r="K627">
        <v>152</v>
      </c>
      <c r="L627" t="s">
        <v>2239</v>
      </c>
      <c r="M627" t="s">
        <v>2240</v>
      </c>
      <c r="N627" t="s">
        <v>1568</v>
      </c>
      <c r="O627" t="s">
        <v>48</v>
      </c>
      <c r="P627" t="s">
        <v>2241</v>
      </c>
      <c r="Q627" t="s">
        <v>92</v>
      </c>
    </row>
    <row r="628" spans="1:17" x14ac:dyDescent="0.25">
      <c r="A628" t="s">
        <v>2220</v>
      </c>
      <c r="B628" t="s">
        <v>2170</v>
      </c>
      <c r="C628" t="s">
        <v>2171</v>
      </c>
      <c r="D628" t="s">
        <v>2172</v>
      </c>
      <c r="E628" t="s">
        <v>122</v>
      </c>
      <c r="F628" t="s">
        <v>62</v>
      </c>
      <c r="G628">
        <v>63101</v>
      </c>
      <c r="H628">
        <v>371</v>
      </c>
      <c r="I628">
        <v>8</v>
      </c>
      <c r="J628" s="4">
        <f>MAX(Inventory[[#This Row],[Qty On Hand]]-Inventory[[#This Row],[Qty Allocated]],0)</f>
        <v>363</v>
      </c>
      <c r="K628">
        <v>322</v>
      </c>
      <c r="L628" t="s">
        <v>903</v>
      </c>
      <c r="M628" t="s">
        <v>2242</v>
      </c>
      <c r="N628" t="s">
        <v>2243</v>
      </c>
      <c r="O628" t="s">
        <v>26</v>
      </c>
      <c r="P628" t="s">
        <v>2244</v>
      </c>
      <c r="Q628" t="s">
        <v>92</v>
      </c>
    </row>
    <row r="629" spans="1:17" x14ac:dyDescent="0.25">
      <c r="A629" t="s">
        <v>2220</v>
      </c>
      <c r="B629" t="s">
        <v>2170</v>
      </c>
      <c r="C629" t="s">
        <v>2171</v>
      </c>
      <c r="D629" t="s">
        <v>2172</v>
      </c>
      <c r="E629" t="s">
        <v>122</v>
      </c>
      <c r="F629" t="s">
        <v>83</v>
      </c>
      <c r="G629">
        <v>28202</v>
      </c>
      <c r="H629">
        <v>247</v>
      </c>
      <c r="I629">
        <v>23</v>
      </c>
      <c r="J629" s="4">
        <f>MAX(Inventory[[#This Row],[Qty On Hand]]-Inventory[[#This Row],[Qty Allocated]],0)</f>
        <v>224</v>
      </c>
      <c r="K629">
        <v>170</v>
      </c>
      <c r="L629" t="s">
        <v>2152</v>
      </c>
      <c r="M629" t="s">
        <v>2245</v>
      </c>
      <c r="N629" t="s">
        <v>1928</v>
      </c>
      <c r="O629" t="s">
        <v>26</v>
      </c>
      <c r="P629" t="s">
        <v>1929</v>
      </c>
      <c r="Q629" t="s">
        <v>92</v>
      </c>
    </row>
    <row r="630" spans="1:17" x14ac:dyDescent="0.25">
      <c r="A630" t="s">
        <v>2220</v>
      </c>
      <c r="B630" t="s">
        <v>2170</v>
      </c>
      <c r="C630" t="s">
        <v>2171</v>
      </c>
      <c r="D630" t="s">
        <v>2172</v>
      </c>
      <c r="E630" t="s">
        <v>122</v>
      </c>
      <c r="F630" t="s">
        <v>83</v>
      </c>
      <c r="G630">
        <v>28202</v>
      </c>
      <c r="H630">
        <v>373</v>
      </c>
      <c r="I630">
        <v>59</v>
      </c>
      <c r="J630" s="4">
        <f>MAX(Inventory[[#This Row],[Qty On Hand]]-Inventory[[#This Row],[Qty Allocated]],0)</f>
        <v>314</v>
      </c>
      <c r="K630">
        <v>211</v>
      </c>
      <c r="L630" t="s">
        <v>2246</v>
      </c>
      <c r="M630" t="s">
        <v>2247</v>
      </c>
      <c r="N630" t="s">
        <v>2028</v>
      </c>
      <c r="O630" t="s">
        <v>26</v>
      </c>
      <c r="P630" t="s">
        <v>348</v>
      </c>
      <c r="Q630" t="s">
        <v>92</v>
      </c>
    </row>
    <row r="631" spans="1:17" x14ac:dyDescent="0.25">
      <c r="A631" t="s">
        <v>2220</v>
      </c>
      <c r="B631" t="s">
        <v>2170</v>
      </c>
      <c r="C631" t="s">
        <v>2171</v>
      </c>
      <c r="D631" t="s">
        <v>2172</v>
      </c>
      <c r="E631" t="s">
        <v>122</v>
      </c>
      <c r="F631" t="s">
        <v>83</v>
      </c>
      <c r="G631">
        <v>28202</v>
      </c>
      <c r="H631">
        <v>205</v>
      </c>
      <c r="I631">
        <v>22</v>
      </c>
      <c r="J631" s="4">
        <f>MAX(Inventory[[#This Row],[Qty On Hand]]-Inventory[[#This Row],[Qty Allocated]],0)</f>
        <v>183</v>
      </c>
      <c r="K631">
        <v>170</v>
      </c>
      <c r="L631" t="s">
        <v>2248</v>
      </c>
      <c r="M631" t="s">
        <v>2249</v>
      </c>
      <c r="N631" t="s">
        <v>1680</v>
      </c>
      <c r="O631" t="s">
        <v>26</v>
      </c>
      <c r="P631" t="s">
        <v>2250</v>
      </c>
      <c r="Q631" t="s">
        <v>40</v>
      </c>
    </row>
    <row r="632" spans="1:17" x14ac:dyDescent="0.25">
      <c r="A632" t="s">
        <v>2220</v>
      </c>
      <c r="B632" t="s">
        <v>2170</v>
      </c>
      <c r="C632" t="s">
        <v>2171</v>
      </c>
      <c r="D632" t="s">
        <v>2172</v>
      </c>
      <c r="E632" t="s">
        <v>122</v>
      </c>
      <c r="F632" t="s">
        <v>83</v>
      </c>
      <c r="G632">
        <v>28202</v>
      </c>
      <c r="H632">
        <v>989</v>
      </c>
      <c r="I632">
        <v>39</v>
      </c>
      <c r="J632" s="4">
        <f>MAX(Inventory[[#This Row],[Qty On Hand]]-Inventory[[#This Row],[Qty Allocated]],0)</f>
        <v>950</v>
      </c>
      <c r="K632">
        <v>213</v>
      </c>
      <c r="L632" t="s">
        <v>2251</v>
      </c>
      <c r="M632" t="s">
        <v>2252</v>
      </c>
      <c r="N632" t="s">
        <v>2253</v>
      </c>
      <c r="O632" t="s">
        <v>26</v>
      </c>
      <c r="P632" t="s">
        <v>91</v>
      </c>
      <c r="Q632" t="s">
        <v>28</v>
      </c>
    </row>
    <row r="633" spans="1:17" x14ac:dyDescent="0.25">
      <c r="A633" t="s">
        <v>2220</v>
      </c>
      <c r="B633" t="s">
        <v>2170</v>
      </c>
      <c r="C633" t="s">
        <v>2171</v>
      </c>
      <c r="D633" t="s">
        <v>2172</v>
      </c>
      <c r="E633" t="s">
        <v>122</v>
      </c>
      <c r="F633" t="s">
        <v>83</v>
      </c>
      <c r="G633">
        <v>28202</v>
      </c>
      <c r="H633">
        <v>547</v>
      </c>
      <c r="I633">
        <v>48</v>
      </c>
      <c r="J633" s="4">
        <f>MAX(Inventory[[#This Row],[Qty On Hand]]-Inventory[[#This Row],[Qty Allocated]],0)</f>
        <v>499</v>
      </c>
      <c r="K633">
        <v>212</v>
      </c>
      <c r="L633" t="s">
        <v>2254</v>
      </c>
      <c r="M633" t="s">
        <v>2255</v>
      </c>
      <c r="N633" t="s">
        <v>1272</v>
      </c>
      <c r="O633" t="s">
        <v>26</v>
      </c>
      <c r="P633" t="s">
        <v>2256</v>
      </c>
      <c r="Q633" t="s">
        <v>34</v>
      </c>
    </row>
    <row r="634" spans="1:17" x14ac:dyDescent="0.25">
      <c r="A634" t="s">
        <v>2220</v>
      </c>
      <c r="B634" t="s">
        <v>2170</v>
      </c>
      <c r="C634" t="s">
        <v>2171</v>
      </c>
      <c r="D634" t="s">
        <v>2172</v>
      </c>
      <c r="E634" t="s">
        <v>122</v>
      </c>
      <c r="F634" t="s">
        <v>83</v>
      </c>
      <c r="G634">
        <v>28202</v>
      </c>
      <c r="H634">
        <v>700</v>
      </c>
      <c r="I634">
        <v>67</v>
      </c>
      <c r="J634" s="4">
        <f>MAX(Inventory[[#This Row],[Qty On Hand]]-Inventory[[#This Row],[Qty Allocated]],0)</f>
        <v>633</v>
      </c>
      <c r="K634">
        <v>325</v>
      </c>
      <c r="L634" t="s">
        <v>2257</v>
      </c>
      <c r="M634" t="s">
        <v>2258</v>
      </c>
      <c r="N634" t="s">
        <v>2259</v>
      </c>
      <c r="O634" t="s">
        <v>26</v>
      </c>
      <c r="P634" t="s">
        <v>460</v>
      </c>
      <c r="Q634" t="s">
        <v>40</v>
      </c>
    </row>
    <row r="635" spans="1:17" x14ac:dyDescent="0.25">
      <c r="A635" t="s">
        <v>2260</v>
      </c>
      <c r="B635" t="s">
        <v>2170</v>
      </c>
      <c r="C635" t="s">
        <v>2171</v>
      </c>
      <c r="D635" t="s">
        <v>2172</v>
      </c>
      <c r="E635" t="s">
        <v>171</v>
      </c>
      <c r="F635" t="s">
        <v>22</v>
      </c>
      <c r="G635">
        <v>94102</v>
      </c>
      <c r="H635">
        <v>5</v>
      </c>
      <c r="I635">
        <v>4</v>
      </c>
      <c r="J635" s="4">
        <f>MAX(Inventory[[#This Row],[Qty On Hand]]-Inventory[[#This Row],[Qty Allocated]],0)</f>
        <v>1</v>
      </c>
      <c r="K635">
        <v>479</v>
      </c>
      <c r="L635" t="s">
        <v>2261</v>
      </c>
      <c r="M635" t="s">
        <v>2262</v>
      </c>
      <c r="N635" t="s">
        <v>2263</v>
      </c>
      <c r="O635" t="s">
        <v>26</v>
      </c>
      <c r="P635" t="s">
        <v>1200</v>
      </c>
      <c r="Q635" t="s">
        <v>92</v>
      </c>
    </row>
    <row r="636" spans="1:17" x14ac:dyDescent="0.25">
      <c r="A636" t="s">
        <v>2260</v>
      </c>
      <c r="B636" t="s">
        <v>2170</v>
      </c>
      <c r="C636" t="s">
        <v>2171</v>
      </c>
      <c r="D636" t="s">
        <v>2172</v>
      </c>
      <c r="E636" t="s">
        <v>171</v>
      </c>
      <c r="F636" t="s">
        <v>35</v>
      </c>
      <c r="G636">
        <v>75201</v>
      </c>
      <c r="H636">
        <v>534</v>
      </c>
      <c r="I636">
        <v>96</v>
      </c>
      <c r="J636" s="4">
        <f>MAX(Inventory[[#This Row],[Qty On Hand]]-Inventory[[#This Row],[Qty Allocated]],0)</f>
        <v>438</v>
      </c>
      <c r="K636">
        <v>287</v>
      </c>
      <c r="L636" t="s">
        <v>2264</v>
      </c>
      <c r="M636" t="s">
        <v>2265</v>
      </c>
      <c r="N636" t="s">
        <v>1780</v>
      </c>
      <c r="O636" t="s">
        <v>26</v>
      </c>
      <c r="P636" t="s">
        <v>1440</v>
      </c>
      <c r="Q636" t="s">
        <v>92</v>
      </c>
    </row>
    <row r="637" spans="1:17" x14ac:dyDescent="0.25">
      <c r="A637" t="s">
        <v>2260</v>
      </c>
      <c r="B637" t="s">
        <v>2170</v>
      </c>
      <c r="C637" t="s">
        <v>2171</v>
      </c>
      <c r="D637" t="s">
        <v>2172</v>
      </c>
      <c r="E637" t="s">
        <v>171</v>
      </c>
      <c r="F637" t="s">
        <v>35</v>
      </c>
      <c r="G637">
        <v>75201</v>
      </c>
      <c r="H637">
        <v>944</v>
      </c>
      <c r="I637">
        <v>34</v>
      </c>
      <c r="J637" s="4">
        <f>MAX(Inventory[[#This Row],[Qty On Hand]]-Inventory[[#This Row],[Qty Allocated]],0)</f>
        <v>910</v>
      </c>
      <c r="K637">
        <v>156</v>
      </c>
      <c r="L637" t="s">
        <v>2266</v>
      </c>
      <c r="M637" t="s">
        <v>2267</v>
      </c>
      <c r="N637" t="s">
        <v>2268</v>
      </c>
      <c r="O637" t="s">
        <v>26</v>
      </c>
      <c r="P637" t="s">
        <v>2269</v>
      </c>
      <c r="Q637" t="s">
        <v>92</v>
      </c>
    </row>
    <row r="638" spans="1:17" x14ac:dyDescent="0.25">
      <c r="A638" t="s">
        <v>2260</v>
      </c>
      <c r="B638" t="s">
        <v>2170</v>
      </c>
      <c r="C638" t="s">
        <v>2171</v>
      </c>
      <c r="D638" t="s">
        <v>2172</v>
      </c>
      <c r="E638" t="s">
        <v>171</v>
      </c>
      <c r="F638" t="s">
        <v>35</v>
      </c>
      <c r="G638">
        <v>75201</v>
      </c>
      <c r="H638">
        <v>729</v>
      </c>
      <c r="I638">
        <v>88</v>
      </c>
      <c r="J638" s="4">
        <f>MAX(Inventory[[#This Row],[Qty On Hand]]-Inventory[[#This Row],[Qty Allocated]],0)</f>
        <v>641</v>
      </c>
      <c r="K638">
        <v>151</v>
      </c>
      <c r="L638" t="s">
        <v>2270</v>
      </c>
      <c r="M638" t="s">
        <v>2271</v>
      </c>
      <c r="N638" t="s">
        <v>893</v>
      </c>
      <c r="O638" t="s">
        <v>26</v>
      </c>
      <c r="P638" t="s">
        <v>2272</v>
      </c>
      <c r="Q638" t="s">
        <v>92</v>
      </c>
    </row>
    <row r="639" spans="1:17" x14ac:dyDescent="0.25">
      <c r="A639" t="s">
        <v>2260</v>
      </c>
      <c r="B639" t="s">
        <v>2170</v>
      </c>
      <c r="C639" t="s">
        <v>2171</v>
      </c>
      <c r="D639" t="s">
        <v>2172</v>
      </c>
      <c r="E639" t="s">
        <v>171</v>
      </c>
      <c r="F639" t="s">
        <v>35</v>
      </c>
      <c r="G639">
        <v>75201</v>
      </c>
      <c r="H639">
        <v>427</v>
      </c>
      <c r="I639">
        <v>89</v>
      </c>
      <c r="J639" s="4">
        <f>MAX(Inventory[[#This Row],[Qty On Hand]]-Inventory[[#This Row],[Qty Allocated]],0)</f>
        <v>338</v>
      </c>
      <c r="K639">
        <v>309</v>
      </c>
      <c r="L639" t="s">
        <v>2273</v>
      </c>
      <c r="M639" t="s">
        <v>2274</v>
      </c>
      <c r="N639" t="s">
        <v>2275</v>
      </c>
      <c r="O639" t="s">
        <v>26</v>
      </c>
      <c r="P639" t="s">
        <v>1004</v>
      </c>
      <c r="Q639" t="s">
        <v>28</v>
      </c>
    </row>
    <row r="640" spans="1:17" x14ac:dyDescent="0.25">
      <c r="A640" t="s">
        <v>2260</v>
      </c>
      <c r="B640" t="s">
        <v>2170</v>
      </c>
      <c r="C640" t="s">
        <v>2171</v>
      </c>
      <c r="D640" t="s">
        <v>2172</v>
      </c>
      <c r="E640" t="s">
        <v>171</v>
      </c>
      <c r="F640" t="s">
        <v>35</v>
      </c>
      <c r="G640">
        <v>75201</v>
      </c>
      <c r="H640">
        <v>828</v>
      </c>
      <c r="I640">
        <v>71</v>
      </c>
      <c r="J640" s="4">
        <f>MAX(Inventory[[#This Row],[Qty On Hand]]-Inventory[[#This Row],[Qty Allocated]],0)</f>
        <v>757</v>
      </c>
      <c r="K640">
        <v>396</v>
      </c>
      <c r="L640" t="s">
        <v>2276</v>
      </c>
      <c r="M640" t="s">
        <v>2277</v>
      </c>
      <c r="N640" t="s">
        <v>2278</v>
      </c>
      <c r="O640" t="s">
        <v>26</v>
      </c>
      <c r="P640" t="s">
        <v>410</v>
      </c>
      <c r="Q640" t="s">
        <v>92</v>
      </c>
    </row>
    <row r="641" spans="1:17" x14ac:dyDescent="0.25">
      <c r="A641" t="s">
        <v>2260</v>
      </c>
      <c r="B641" t="s">
        <v>2170</v>
      </c>
      <c r="C641" t="s">
        <v>2171</v>
      </c>
      <c r="D641" t="s">
        <v>2172</v>
      </c>
      <c r="E641" t="s">
        <v>171</v>
      </c>
      <c r="F641" t="s">
        <v>35</v>
      </c>
      <c r="G641">
        <v>75201</v>
      </c>
      <c r="H641">
        <v>260</v>
      </c>
      <c r="I641">
        <v>77</v>
      </c>
      <c r="J641" s="4">
        <f>MAX(Inventory[[#This Row],[Qty On Hand]]-Inventory[[#This Row],[Qty Allocated]],0)</f>
        <v>183</v>
      </c>
      <c r="K641">
        <v>128</v>
      </c>
      <c r="L641" t="s">
        <v>2176</v>
      </c>
      <c r="M641" t="s">
        <v>2279</v>
      </c>
      <c r="N641" t="s">
        <v>2280</v>
      </c>
      <c r="O641" t="s">
        <v>26</v>
      </c>
      <c r="P641" t="s">
        <v>2281</v>
      </c>
      <c r="Q641" t="s">
        <v>34</v>
      </c>
    </row>
    <row r="642" spans="1:17" x14ac:dyDescent="0.25">
      <c r="A642" t="s">
        <v>2260</v>
      </c>
      <c r="B642" t="s">
        <v>2170</v>
      </c>
      <c r="C642" t="s">
        <v>2171</v>
      </c>
      <c r="D642" t="s">
        <v>2172</v>
      </c>
      <c r="E642" t="s">
        <v>171</v>
      </c>
      <c r="F642" t="s">
        <v>62</v>
      </c>
      <c r="G642">
        <v>63101</v>
      </c>
      <c r="H642">
        <v>888</v>
      </c>
      <c r="I642">
        <v>8</v>
      </c>
      <c r="J642" s="4">
        <f>MAX(Inventory[[#This Row],[Qty On Hand]]-Inventory[[#This Row],[Qty Allocated]],0)</f>
        <v>880</v>
      </c>
      <c r="K642">
        <v>261</v>
      </c>
      <c r="L642" t="s">
        <v>2282</v>
      </c>
      <c r="M642" t="s">
        <v>2283</v>
      </c>
      <c r="N642" t="s">
        <v>1056</v>
      </c>
      <c r="O642" t="s">
        <v>26</v>
      </c>
      <c r="P642" t="s">
        <v>595</v>
      </c>
      <c r="Q642" t="s">
        <v>92</v>
      </c>
    </row>
    <row r="643" spans="1:17" x14ac:dyDescent="0.25">
      <c r="A643" t="s">
        <v>2260</v>
      </c>
      <c r="B643" t="s">
        <v>2170</v>
      </c>
      <c r="C643" t="s">
        <v>2171</v>
      </c>
      <c r="D643" t="s">
        <v>2172</v>
      </c>
      <c r="E643" t="s">
        <v>171</v>
      </c>
      <c r="F643" t="s">
        <v>62</v>
      </c>
      <c r="G643">
        <v>63101</v>
      </c>
      <c r="H643">
        <v>647</v>
      </c>
      <c r="I643">
        <v>44</v>
      </c>
      <c r="J643" s="4">
        <f>MAX(Inventory[[#This Row],[Qty On Hand]]-Inventory[[#This Row],[Qty Allocated]],0)</f>
        <v>603</v>
      </c>
      <c r="K643">
        <v>195</v>
      </c>
      <c r="L643" t="s">
        <v>2284</v>
      </c>
      <c r="M643" t="s">
        <v>2285</v>
      </c>
      <c r="N643" t="s">
        <v>2286</v>
      </c>
      <c r="O643" t="s">
        <v>26</v>
      </c>
      <c r="P643" t="s">
        <v>2287</v>
      </c>
      <c r="Q643" t="s">
        <v>34</v>
      </c>
    </row>
    <row r="644" spans="1:17" x14ac:dyDescent="0.25">
      <c r="A644" t="s">
        <v>2260</v>
      </c>
      <c r="B644" t="s">
        <v>2170</v>
      </c>
      <c r="C644" t="s">
        <v>2171</v>
      </c>
      <c r="D644" t="s">
        <v>2172</v>
      </c>
      <c r="E644" t="s">
        <v>171</v>
      </c>
      <c r="F644" t="s">
        <v>62</v>
      </c>
      <c r="G644">
        <v>63101</v>
      </c>
      <c r="H644">
        <v>289</v>
      </c>
      <c r="I644">
        <v>40</v>
      </c>
      <c r="J644" s="4">
        <f>MAX(Inventory[[#This Row],[Qty On Hand]]-Inventory[[#This Row],[Qty Allocated]],0)</f>
        <v>249</v>
      </c>
      <c r="K644">
        <v>227</v>
      </c>
      <c r="L644" t="s">
        <v>2288</v>
      </c>
      <c r="M644" t="s">
        <v>2289</v>
      </c>
      <c r="N644" t="s">
        <v>2238</v>
      </c>
      <c r="O644" t="s">
        <v>26</v>
      </c>
      <c r="P644" t="s">
        <v>1367</v>
      </c>
      <c r="Q644" t="s">
        <v>28</v>
      </c>
    </row>
    <row r="645" spans="1:17" x14ac:dyDescent="0.25">
      <c r="A645" t="s">
        <v>2260</v>
      </c>
      <c r="B645" t="s">
        <v>2170</v>
      </c>
      <c r="C645" t="s">
        <v>2171</v>
      </c>
      <c r="D645" t="s">
        <v>2172</v>
      </c>
      <c r="E645" t="s">
        <v>171</v>
      </c>
      <c r="F645" t="s">
        <v>62</v>
      </c>
      <c r="G645">
        <v>63101</v>
      </c>
      <c r="H645">
        <v>539</v>
      </c>
      <c r="I645">
        <v>34</v>
      </c>
      <c r="J645" s="4">
        <f>MAX(Inventory[[#This Row],[Qty On Hand]]-Inventory[[#This Row],[Qty Allocated]],0)</f>
        <v>505</v>
      </c>
      <c r="K645">
        <v>199</v>
      </c>
      <c r="L645" t="s">
        <v>2290</v>
      </c>
      <c r="M645" t="s">
        <v>2291</v>
      </c>
      <c r="N645" t="s">
        <v>86</v>
      </c>
      <c r="O645" t="s">
        <v>48</v>
      </c>
      <c r="P645" t="s">
        <v>2292</v>
      </c>
      <c r="Q645" t="s">
        <v>40</v>
      </c>
    </row>
    <row r="646" spans="1:17" x14ac:dyDescent="0.25">
      <c r="A646" t="s">
        <v>2260</v>
      </c>
      <c r="B646" t="s">
        <v>2170</v>
      </c>
      <c r="C646" t="s">
        <v>2171</v>
      </c>
      <c r="D646" t="s">
        <v>2172</v>
      </c>
      <c r="E646" t="s">
        <v>171</v>
      </c>
      <c r="F646" t="s">
        <v>83</v>
      </c>
      <c r="G646">
        <v>28202</v>
      </c>
      <c r="H646">
        <v>889</v>
      </c>
      <c r="I646">
        <v>76</v>
      </c>
      <c r="J646" s="4">
        <f>MAX(Inventory[[#This Row],[Qty On Hand]]-Inventory[[#This Row],[Qty Allocated]],0)</f>
        <v>813</v>
      </c>
      <c r="K646">
        <v>119</v>
      </c>
      <c r="L646" t="s">
        <v>2293</v>
      </c>
      <c r="M646" t="s">
        <v>2294</v>
      </c>
      <c r="N646" t="s">
        <v>1971</v>
      </c>
      <c r="O646" t="s">
        <v>48</v>
      </c>
      <c r="P646" t="s">
        <v>2295</v>
      </c>
      <c r="Q646" t="s">
        <v>92</v>
      </c>
    </row>
    <row r="647" spans="1:17" x14ac:dyDescent="0.25">
      <c r="A647" t="s">
        <v>2260</v>
      </c>
      <c r="B647" t="s">
        <v>2170</v>
      </c>
      <c r="C647" t="s">
        <v>2171</v>
      </c>
      <c r="D647" t="s">
        <v>2172</v>
      </c>
      <c r="E647" t="s">
        <v>171</v>
      </c>
      <c r="F647" t="s">
        <v>83</v>
      </c>
      <c r="G647">
        <v>28202</v>
      </c>
      <c r="H647">
        <v>538</v>
      </c>
      <c r="I647">
        <v>20</v>
      </c>
      <c r="J647" s="4">
        <f>MAX(Inventory[[#This Row],[Qty On Hand]]-Inventory[[#This Row],[Qty Allocated]],0)</f>
        <v>518</v>
      </c>
      <c r="K647">
        <v>368</v>
      </c>
      <c r="L647" t="s">
        <v>573</v>
      </c>
      <c r="M647" t="s">
        <v>2296</v>
      </c>
      <c r="N647" t="s">
        <v>710</v>
      </c>
      <c r="O647" t="s">
        <v>26</v>
      </c>
      <c r="P647" t="s">
        <v>2297</v>
      </c>
      <c r="Q647" t="s">
        <v>40</v>
      </c>
    </row>
    <row r="648" spans="1:17" x14ac:dyDescent="0.25">
      <c r="A648" t="s">
        <v>2260</v>
      </c>
      <c r="B648" t="s">
        <v>2170</v>
      </c>
      <c r="C648" t="s">
        <v>2171</v>
      </c>
      <c r="D648" t="s">
        <v>2172</v>
      </c>
      <c r="E648" t="s">
        <v>171</v>
      </c>
      <c r="F648" t="s">
        <v>83</v>
      </c>
      <c r="G648">
        <v>28202</v>
      </c>
      <c r="H648">
        <v>517</v>
      </c>
      <c r="I648">
        <v>55</v>
      </c>
      <c r="J648" s="4">
        <f>MAX(Inventory[[#This Row],[Qty On Hand]]-Inventory[[#This Row],[Qty Allocated]],0)</f>
        <v>462</v>
      </c>
      <c r="K648">
        <v>105</v>
      </c>
      <c r="L648" t="s">
        <v>2298</v>
      </c>
      <c r="M648" t="s">
        <v>2299</v>
      </c>
      <c r="N648" t="s">
        <v>2300</v>
      </c>
      <c r="O648" t="s">
        <v>48</v>
      </c>
      <c r="P648" t="s">
        <v>2301</v>
      </c>
      <c r="Q648" t="s">
        <v>40</v>
      </c>
    </row>
    <row r="649" spans="1:17" x14ac:dyDescent="0.25">
      <c r="A649" t="s">
        <v>2260</v>
      </c>
      <c r="B649" t="s">
        <v>2170</v>
      </c>
      <c r="C649" t="s">
        <v>2171</v>
      </c>
      <c r="D649" t="s">
        <v>2172</v>
      </c>
      <c r="E649" t="s">
        <v>171</v>
      </c>
      <c r="F649" t="s">
        <v>83</v>
      </c>
      <c r="G649">
        <v>28202</v>
      </c>
      <c r="H649">
        <v>922</v>
      </c>
      <c r="I649">
        <v>77</v>
      </c>
      <c r="J649" s="4">
        <f>MAX(Inventory[[#This Row],[Qty On Hand]]-Inventory[[#This Row],[Qty Allocated]],0)</f>
        <v>845</v>
      </c>
      <c r="K649">
        <v>221</v>
      </c>
      <c r="L649" t="s">
        <v>2302</v>
      </c>
      <c r="M649" t="s">
        <v>2303</v>
      </c>
      <c r="N649" t="s">
        <v>1872</v>
      </c>
      <c r="O649" t="s">
        <v>48</v>
      </c>
      <c r="P649" t="s">
        <v>965</v>
      </c>
      <c r="Q649" t="s">
        <v>40</v>
      </c>
    </row>
    <row r="650" spans="1:17" x14ac:dyDescent="0.25">
      <c r="A650" t="s">
        <v>2260</v>
      </c>
      <c r="B650" t="s">
        <v>2170</v>
      </c>
      <c r="C650" t="s">
        <v>2171</v>
      </c>
      <c r="D650" t="s">
        <v>2172</v>
      </c>
      <c r="E650" t="s">
        <v>171</v>
      </c>
      <c r="F650" t="s">
        <v>83</v>
      </c>
      <c r="G650">
        <v>28202</v>
      </c>
      <c r="H650">
        <v>803</v>
      </c>
      <c r="I650">
        <v>55</v>
      </c>
      <c r="J650" s="4">
        <f>MAX(Inventory[[#This Row],[Qty On Hand]]-Inventory[[#This Row],[Qty Allocated]],0)</f>
        <v>748</v>
      </c>
      <c r="K650">
        <v>248</v>
      </c>
      <c r="L650" t="s">
        <v>2304</v>
      </c>
      <c r="M650" t="s">
        <v>2305</v>
      </c>
      <c r="N650" t="s">
        <v>1878</v>
      </c>
      <c r="O650" t="s">
        <v>26</v>
      </c>
      <c r="P650" t="s">
        <v>456</v>
      </c>
      <c r="Q650" t="s">
        <v>40</v>
      </c>
    </row>
    <row r="651" spans="1:17" x14ac:dyDescent="0.25">
      <c r="A651" t="s">
        <v>2260</v>
      </c>
      <c r="B651" t="s">
        <v>2170</v>
      </c>
      <c r="C651" t="s">
        <v>2171</v>
      </c>
      <c r="D651" t="s">
        <v>2172</v>
      </c>
      <c r="E651" t="s">
        <v>171</v>
      </c>
      <c r="F651" t="s">
        <v>83</v>
      </c>
      <c r="G651">
        <v>28202</v>
      </c>
      <c r="H651">
        <v>963</v>
      </c>
      <c r="I651">
        <v>65</v>
      </c>
      <c r="J651" s="4">
        <f>MAX(Inventory[[#This Row],[Qty On Hand]]-Inventory[[#This Row],[Qty Allocated]],0)</f>
        <v>898</v>
      </c>
      <c r="K651">
        <v>128</v>
      </c>
      <c r="L651" t="s">
        <v>2306</v>
      </c>
      <c r="M651" t="s">
        <v>2307</v>
      </c>
      <c r="N651" t="s">
        <v>2308</v>
      </c>
      <c r="O651" t="s">
        <v>26</v>
      </c>
      <c r="P651" t="s">
        <v>2309</v>
      </c>
      <c r="Q651" t="s">
        <v>28</v>
      </c>
    </row>
    <row r="652" spans="1:17" x14ac:dyDescent="0.25">
      <c r="A652" t="s">
        <v>2310</v>
      </c>
      <c r="B652" t="s">
        <v>2170</v>
      </c>
      <c r="C652" t="s">
        <v>2171</v>
      </c>
      <c r="D652" t="s">
        <v>2311</v>
      </c>
      <c r="E652" t="s">
        <v>21</v>
      </c>
      <c r="F652" t="s">
        <v>22</v>
      </c>
      <c r="G652">
        <v>94102</v>
      </c>
      <c r="H652">
        <v>0</v>
      </c>
      <c r="I652">
        <v>0</v>
      </c>
      <c r="J652" s="4">
        <f>MAX(Inventory[[#This Row],[Qty On Hand]]-Inventory[[#This Row],[Qty Allocated]],0)</f>
        <v>0</v>
      </c>
      <c r="K652">
        <v>487</v>
      </c>
      <c r="L652" t="s">
        <v>2312</v>
      </c>
      <c r="M652" t="s">
        <v>2313</v>
      </c>
      <c r="N652" t="s">
        <v>1219</v>
      </c>
      <c r="O652" t="s">
        <v>26</v>
      </c>
      <c r="P652" t="s">
        <v>1399</v>
      </c>
      <c r="Q652" t="s">
        <v>40</v>
      </c>
    </row>
    <row r="653" spans="1:17" x14ac:dyDescent="0.25">
      <c r="A653" t="s">
        <v>2310</v>
      </c>
      <c r="B653" t="s">
        <v>2170</v>
      </c>
      <c r="C653" t="s">
        <v>2171</v>
      </c>
      <c r="D653" t="s">
        <v>2311</v>
      </c>
      <c r="E653" t="s">
        <v>21</v>
      </c>
      <c r="F653" t="s">
        <v>29</v>
      </c>
      <c r="G653">
        <v>98072</v>
      </c>
      <c r="H653">
        <v>452</v>
      </c>
      <c r="I653">
        <v>4</v>
      </c>
      <c r="J653" s="4">
        <f>MAX(Inventory[[#This Row],[Qty On Hand]]-Inventory[[#This Row],[Qty Allocated]],0)</f>
        <v>448</v>
      </c>
      <c r="K653">
        <v>456</v>
      </c>
      <c r="L653" t="s">
        <v>2314</v>
      </c>
      <c r="M653" t="s">
        <v>2315</v>
      </c>
      <c r="N653" t="s">
        <v>1587</v>
      </c>
      <c r="O653" t="s">
        <v>26</v>
      </c>
      <c r="P653" t="s">
        <v>917</v>
      </c>
      <c r="Q653" t="s">
        <v>34</v>
      </c>
    </row>
    <row r="654" spans="1:17" x14ac:dyDescent="0.25">
      <c r="A654" t="s">
        <v>2310</v>
      </c>
      <c r="B654" t="s">
        <v>2170</v>
      </c>
      <c r="C654" t="s">
        <v>2171</v>
      </c>
      <c r="D654" t="s">
        <v>2311</v>
      </c>
      <c r="E654" t="s">
        <v>21</v>
      </c>
      <c r="F654" t="s">
        <v>35</v>
      </c>
      <c r="G654">
        <v>75201</v>
      </c>
      <c r="H654">
        <v>937</v>
      </c>
      <c r="I654">
        <v>50</v>
      </c>
      <c r="J654" s="4">
        <f>MAX(Inventory[[#This Row],[Qty On Hand]]-Inventory[[#This Row],[Qty Allocated]],0)</f>
        <v>887</v>
      </c>
      <c r="K654">
        <v>267</v>
      </c>
      <c r="L654" t="s">
        <v>2316</v>
      </c>
      <c r="M654" t="s">
        <v>2317</v>
      </c>
      <c r="N654" t="s">
        <v>2318</v>
      </c>
      <c r="O654" t="s">
        <v>26</v>
      </c>
      <c r="P654" t="s">
        <v>1122</v>
      </c>
      <c r="Q654" t="s">
        <v>34</v>
      </c>
    </row>
    <row r="655" spans="1:17" x14ac:dyDescent="0.25">
      <c r="A655" t="s">
        <v>2310</v>
      </c>
      <c r="B655" t="s">
        <v>2170</v>
      </c>
      <c r="C655" t="s">
        <v>2171</v>
      </c>
      <c r="D655" t="s">
        <v>2311</v>
      </c>
      <c r="E655" t="s">
        <v>21</v>
      </c>
      <c r="F655" t="s">
        <v>35</v>
      </c>
      <c r="G655">
        <v>75201</v>
      </c>
      <c r="H655">
        <v>684</v>
      </c>
      <c r="I655">
        <v>62</v>
      </c>
      <c r="J655" s="4">
        <f>MAX(Inventory[[#This Row],[Qty On Hand]]-Inventory[[#This Row],[Qty Allocated]],0)</f>
        <v>622</v>
      </c>
      <c r="K655">
        <v>106</v>
      </c>
      <c r="L655" t="s">
        <v>2319</v>
      </c>
      <c r="M655" t="s">
        <v>2320</v>
      </c>
      <c r="N655" t="s">
        <v>2204</v>
      </c>
      <c r="O655" t="s">
        <v>26</v>
      </c>
      <c r="P655" t="s">
        <v>2321</v>
      </c>
      <c r="Q655" t="s">
        <v>34</v>
      </c>
    </row>
    <row r="656" spans="1:17" x14ac:dyDescent="0.25">
      <c r="A656" t="s">
        <v>2310</v>
      </c>
      <c r="B656" t="s">
        <v>2170</v>
      </c>
      <c r="C656" t="s">
        <v>2171</v>
      </c>
      <c r="D656" t="s">
        <v>2311</v>
      </c>
      <c r="E656" t="s">
        <v>21</v>
      </c>
      <c r="F656" t="s">
        <v>35</v>
      </c>
      <c r="G656">
        <v>75201</v>
      </c>
      <c r="H656">
        <v>271</v>
      </c>
      <c r="I656">
        <v>60</v>
      </c>
      <c r="J656" s="4">
        <f>MAX(Inventory[[#This Row],[Qty On Hand]]-Inventory[[#This Row],[Qty Allocated]],0)</f>
        <v>211</v>
      </c>
      <c r="K656">
        <v>301</v>
      </c>
      <c r="L656" t="s">
        <v>2322</v>
      </c>
      <c r="M656" t="s">
        <v>2323</v>
      </c>
      <c r="N656" t="s">
        <v>2324</v>
      </c>
      <c r="O656" t="s">
        <v>26</v>
      </c>
      <c r="P656" t="s">
        <v>233</v>
      </c>
      <c r="Q656" t="s">
        <v>34</v>
      </c>
    </row>
    <row r="657" spans="1:17" x14ac:dyDescent="0.25">
      <c r="A657" t="s">
        <v>2310</v>
      </c>
      <c r="B657" t="s">
        <v>2170</v>
      </c>
      <c r="C657" t="s">
        <v>2171</v>
      </c>
      <c r="D657" t="s">
        <v>2311</v>
      </c>
      <c r="E657" t="s">
        <v>21</v>
      </c>
      <c r="F657" t="s">
        <v>35</v>
      </c>
      <c r="G657">
        <v>75201</v>
      </c>
      <c r="H657">
        <v>232</v>
      </c>
      <c r="I657">
        <v>30</v>
      </c>
      <c r="J657" s="4">
        <f>MAX(Inventory[[#This Row],[Qty On Hand]]-Inventory[[#This Row],[Qty Allocated]],0)</f>
        <v>202</v>
      </c>
      <c r="K657">
        <v>398</v>
      </c>
      <c r="L657" t="s">
        <v>2325</v>
      </c>
      <c r="M657" t="s">
        <v>2326</v>
      </c>
      <c r="N657" t="s">
        <v>2327</v>
      </c>
      <c r="O657" t="s">
        <v>48</v>
      </c>
      <c r="P657" t="s">
        <v>2328</v>
      </c>
      <c r="Q657" t="s">
        <v>28</v>
      </c>
    </row>
    <row r="658" spans="1:17" x14ac:dyDescent="0.25">
      <c r="A658" t="s">
        <v>2310</v>
      </c>
      <c r="B658" t="s">
        <v>2170</v>
      </c>
      <c r="C658" t="s">
        <v>2171</v>
      </c>
      <c r="D658" t="s">
        <v>2311</v>
      </c>
      <c r="E658" t="s">
        <v>21</v>
      </c>
      <c r="F658" t="s">
        <v>35</v>
      </c>
      <c r="G658">
        <v>75201</v>
      </c>
      <c r="H658">
        <v>514</v>
      </c>
      <c r="I658">
        <v>19</v>
      </c>
      <c r="J658" s="4">
        <f>MAX(Inventory[[#This Row],[Qty On Hand]]-Inventory[[#This Row],[Qty Allocated]],0)</f>
        <v>495</v>
      </c>
      <c r="K658">
        <v>202</v>
      </c>
      <c r="L658" t="s">
        <v>2329</v>
      </c>
      <c r="M658" t="s">
        <v>2330</v>
      </c>
      <c r="N658" t="s">
        <v>202</v>
      </c>
      <c r="O658" t="s">
        <v>26</v>
      </c>
      <c r="P658" t="s">
        <v>2331</v>
      </c>
      <c r="Q658" t="s">
        <v>92</v>
      </c>
    </row>
    <row r="659" spans="1:17" x14ac:dyDescent="0.25">
      <c r="A659" t="s">
        <v>2310</v>
      </c>
      <c r="B659" t="s">
        <v>2170</v>
      </c>
      <c r="C659" t="s">
        <v>2171</v>
      </c>
      <c r="D659" t="s">
        <v>2311</v>
      </c>
      <c r="E659" t="s">
        <v>21</v>
      </c>
      <c r="F659" t="s">
        <v>35</v>
      </c>
      <c r="G659">
        <v>75201</v>
      </c>
      <c r="H659">
        <v>731</v>
      </c>
      <c r="I659">
        <v>15</v>
      </c>
      <c r="J659" s="4">
        <f>MAX(Inventory[[#This Row],[Qty On Hand]]-Inventory[[#This Row],[Qty Allocated]],0)</f>
        <v>716</v>
      </c>
      <c r="K659">
        <v>218</v>
      </c>
      <c r="L659" t="s">
        <v>1514</v>
      </c>
      <c r="M659" t="s">
        <v>2332</v>
      </c>
      <c r="N659" t="s">
        <v>1299</v>
      </c>
      <c r="O659" t="s">
        <v>26</v>
      </c>
      <c r="P659" t="s">
        <v>2333</v>
      </c>
      <c r="Q659" t="s">
        <v>28</v>
      </c>
    </row>
    <row r="660" spans="1:17" x14ac:dyDescent="0.25">
      <c r="A660" t="s">
        <v>2310</v>
      </c>
      <c r="B660" t="s">
        <v>2170</v>
      </c>
      <c r="C660" t="s">
        <v>2171</v>
      </c>
      <c r="D660" t="s">
        <v>2311</v>
      </c>
      <c r="E660" t="s">
        <v>21</v>
      </c>
      <c r="F660" t="s">
        <v>62</v>
      </c>
      <c r="G660">
        <v>63101</v>
      </c>
      <c r="H660">
        <v>734</v>
      </c>
      <c r="I660">
        <v>74</v>
      </c>
      <c r="J660" s="4">
        <f>MAX(Inventory[[#This Row],[Qty On Hand]]-Inventory[[#This Row],[Qty Allocated]],0)</f>
        <v>660</v>
      </c>
      <c r="K660">
        <v>355</v>
      </c>
      <c r="L660" t="s">
        <v>2334</v>
      </c>
      <c r="M660" t="s">
        <v>2335</v>
      </c>
      <c r="N660" t="s">
        <v>2336</v>
      </c>
      <c r="O660" t="s">
        <v>26</v>
      </c>
      <c r="P660" t="s">
        <v>2337</v>
      </c>
      <c r="Q660" t="s">
        <v>40</v>
      </c>
    </row>
    <row r="661" spans="1:17" x14ac:dyDescent="0.25">
      <c r="A661" t="s">
        <v>2310</v>
      </c>
      <c r="B661" t="s">
        <v>2170</v>
      </c>
      <c r="C661" t="s">
        <v>2171</v>
      </c>
      <c r="D661" t="s">
        <v>2311</v>
      </c>
      <c r="E661" t="s">
        <v>21</v>
      </c>
      <c r="F661" t="s">
        <v>62</v>
      </c>
      <c r="G661">
        <v>63101</v>
      </c>
      <c r="H661">
        <v>551</v>
      </c>
      <c r="I661">
        <v>40</v>
      </c>
      <c r="J661" s="4">
        <f>MAX(Inventory[[#This Row],[Qty On Hand]]-Inventory[[#This Row],[Qty Allocated]],0)</f>
        <v>511</v>
      </c>
      <c r="K661">
        <v>138</v>
      </c>
      <c r="L661" t="s">
        <v>1267</v>
      </c>
      <c r="M661" t="s">
        <v>2338</v>
      </c>
      <c r="N661" t="s">
        <v>2339</v>
      </c>
      <c r="O661" t="s">
        <v>26</v>
      </c>
      <c r="P661" t="s">
        <v>2340</v>
      </c>
      <c r="Q661" t="s">
        <v>28</v>
      </c>
    </row>
    <row r="662" spans="1:17" x14ac:dyDescent="0.25">
      <c r="A662" t="s">
        <v>2310</v>
      </c>
      <c r="B662" t="s">
        <v>2170</v>
      </c>
      <c r="C662" t="s">
        <v>2171</v>
      </c>
      <c r="D662" t="s">
        <v>2311</v>
      </c>
      <c r="E662" t="s">
        <v>21</v>
      </c>
      <c r="F662" t="s">
        <v>62</v>
      </c>
      <c r="G662">
        <v>63101</v>
      </c>
      <c r="H662">
        <v>454</v>
      </c>
      <c r="I662">
        <v>31</v>
      </c>
      <c r="J662" s="4">
        <f>MAX(Inventory[[#This Row],[Qty On Hand]]-Inventory[[#This Row],[Qty Allocated]],0)</f>
        <v>423</v>
      </c>
      <c r="K662">
        <v>170</v>
      </c>
      <c r="L662" t="s">
        <v>2341</v>
      </c>
      <c r="M662" t="s">
        <v>2342</v>
      </c>
      <c r="N662" t="s">
        <v>2108</v>
      </c>
      <c r="O662" t="s">
        <v>48</v>
      </c>
      <c r="P662" t="s">
        <v>277</v>
      </c>
      <c r="Q662" t="s">
        <v>34</v>
      </c>
    </row>
    <row r="663" spans="1:17" x14ac:dyDescent="0.25">
      <c r="A663" t="s">
        <v>2310</v>
      </c>
      <c r="B663" t="s">
        <v>2170</v>
      </c>
      <c r="C663" t="s">
        <v>2171</v>
      </c>
      <c r="D663" t="s">
        <v>2311</v>
      </c>
      <c r="E663" t="s">
        <v>21</v>
      </c>
      <c r="F663" t="s">
        <v>62</v>
      </c>
      <c r="G663">
        <v>63101</v>
      </c>
      <c r="H663">
        <v>898</v>
      </c>
      <c r="I663">
        <v>97</v>
      </c>
      <c r="J663" s="4">
        <f>MAX(Inventory[[#This Row],[Qty On Hand]]-Inventory[[#This Row],[Qty Allocated]],0)</f>
        <v>801</v>
      </c>
      <c r="K663">
        <v>346</v>
      </c>
      <c r="L663" t="s">
        <v>2343</v>
      </c>
      <c r="M663" t="s">
        <v>2344</v>
      </c>
      <c r="N663" t="s">
        <v>2345</v>
      </c>
      <c r="O663" t="s">
        <v>26</v>
      </c>
      <c r="P663" t="s">
        <v>2346</v>
      </c>
      <c r="Q663" t="s">
        <v>92</v>
      </c>
    </row>
    <row r="664" spans="1:17" x14ac:dyDescent="0.25">
      <c r="A664" t="s">
        <v>2310</v>
      </c>
      <c r="B664" t="s">
        <v>2170</v>
      </c>
      <c r="C664" t="s">
        <v>2171</v>
      </c>
      <c r="D664" t="s">
        <v>2311</v>
      </c>
      <c r="E664" t="s">
        <v>21</v>
      </c>
      <c r="F664" t="s">
        <v>62</v>
      </c>
      <c r="G664">
        <v>63101</v>
      </c>
      <c r="H664">
        <v>372</v>
      </c>
      <c r="I664">
        <v>19</v>
      </c>
      <c r="J664" s="4">
        <f>MAX(Inventory[[#This Row],[Qty On Hand]]-Inventory[[#This Row],[Qty Allocated]],0)</f>
        <v>353</v>
      </c>
      <c r="K664">
        <v>161</v>
      </c>
      <c r="L664" t="s">
        <v>2347</v>
      </c>
      <c r="M664" t="s">
        <v>2348</v>
      </c>
      <c r="N664" t="s">
        <v>2349</v>
      </c>
      <c r="O664" t="s">
        <v>48</v>
      </c>
      <c r="P664" t="s">
        <v>2350</v>
      </c>
      <c r="Q664" t="s">
        <v>34</v>
      </c>
    </row>
    <row r="665" spans="1:17" x14ac:dyDescent="0.25">
      <c r="A665" t="s">
        <v>2310</v>
      </c>
      <c r="B665" t="s">
        <v>2170</v>
      </c>
      <c r="C665" t="s">
        <v>2171</v>
      </c>
      <c r="D665" t="s">
        <v>2311</v>
      </c>
      <c r="E665" t="s">
        <v>21</v>
      </c>
      <c r="F665" t="s">
        <v>62</v>
      </c>
      <c r="G665">
        <v>63101</v>
      </c>
      <c r="H665">
        <v>845</v>
      </c>
      <c r="I665">
        <v>87</v>
      </c>
      <c r="J665" s="4">
        <f>MAX(Inventory[[#This Row],[Qty On Hand]]-Inventory[[#This Row],[Qty Allocated]],0)</f>
        <v>758</v>
      </c>
      <c r="K665">
        <v>138</v>
      </c>
      <c r="L665" t="s">
        <v>2351</v>
      </c>
      <c r="M665" t="s">
        <v>2352</v>
      </c>
      <c r="N665" t="s">
        <v>2353</v>
      </c>
      <c r="O665" t="s">
        <v>26</v>
      </c>
      <c r="P665" t="s">
        <v>464</v>
      </c>
      <c r="Q665" t="s">
        <v>28</v>
      </c>
    </row>
    <row r="666" spans="1:17" x14ac:dyDescent="0.25">
      <c r="A666" t="s">
        <v>2310</v>
      </c>
      <c r="B666" t="s">
        <v>2170</v>
      </c>
      <c r="C666" t="s">
        <v>2171</v>
      </c>
      <c r="D666" t="s">
        <v>2311</v>
      </c>
      <c r="E666" t="s">
        <v>21</v>
      </c>
      <c r="F666" t="s">
        <v>83</v>
      </c>
      <c r="G666">
        <v>28202</v>
      </c>
      <c r="H666">
        <v>931</v>
      </c>
      <c r="I666">
        <v>92</v>
      </c>
      <c r="J666" s="4">
        <f>MAX(Inventory[[#This Row],[Qty On Hand]]-Inventory[[#This Row],[Qty Allocated]],0)</f>
        <v>839</v>
      </c>
      <c r="K666">
        <v>312</v>
      </c>
      <c r="L666" t="s">
        <v>2354</v>
      </c>
      <c r="M666" t="s">
        <v>2355</v>
      </c>
      <c r="N666" t="s">
        <v>2356</v>
      </c>
      <c r="O666" t="s">
        <v>48</v>
      </c>
      <c r="P666" t="s">
        <v>1312</v>
      </c>
      <c r="Q666" t="s">
        <v>34</v>
      </c>
    </row>
    <row r="667" spans="1:17" x14ac:dyDescent="0.25">
      <c r="A667" t="s">
        <v>2310</v>
      </c>
      <c r="B667" t="s">
        <v>2170</v>
      </c>
      <c r="C667" t="s">
        <v>2171</v>
      </c>
      <c r="D667" t="s">
        <v>2311</v>
      </c>
      <c r="E667" t="s">
        <v>21</v>
      </c>
      <c r="F667" t="s">
        <v>83</v>
      </c>
      <c r="G667">
        <v>28202</v>
      </c>
      <c r="H667">
        <v>638</v>
      </c>
      <c r="I667">
        <v>21</v>
      </c>
      <c r="J667" s="4">
        <f>MAX(Inventory[[#This Row],[Qty On Hand]]-Inventory[[#This Row],[Qty Allocated]],0)</f>
        <v>617</v>
      </c>
      <c r="K667">
        <v>116</v>
      </c>
      <c r="L667" t="s">
        <v>2357</v>
      </c>
      <c r="M667" t="s">
        <v>2358</v>
      </c>
      <c r="N667" t="s">
        <v>2359</v>
      </c>
      <c r="O667" t="s">
        <v>48</v>
      </c>
      <c r="P667" t="s">
        <v>2360</v>
      </c>
      <c r="Q667" t="s">
        <v>28</v>
      </c>
    </row>
    <row r="668" spans="1:17" x14ac:dyDescent="0.25">
      <c r="A668" t="s">
        <v>2310</v>
      </c>
      <c r="B668" t="s">
        <v>2170</v>
      </c>
      <c r="C668" t="s">
        <v>2171</v>
      </c>
      <c r="D668" t="s">
        <v>2311</v>
      </c>
      <c r="E668" t="s">
        <v>21</v>
      </c>
      <c r="F668" t="s">
        <v>83</v>
      </c>
      <c r="G668">
        <v>28202</v>
      </c>
      <c r="H668">
        <v>943</v>
      </c>
      <c r="I668">
        <v>28</v>
      </c>
      <c r="J668" s="4">
        <f>MAX(Inventory[[#This Row],[Qty On Hand]]-Inventory[[#This Row],[Qty Allocated]],0)</f>
        <v>915</v>
      </c>
      <c r="K668">
        <v>207</v>
      </c>
      <c r="L668" t="s">
        <v>716</v>
      </c>
      <c r="M668" t="s">
        <v>2361</v>
      </c>
      <c r="N668" t="s">
        <v>2362</v>
      </c>
      <c r="O668" t="s">
        <v>26</v>
      </c>
      <c r="P668" t="s">
        <v>44</v>
      </c>
      <c r="Q668" t="s">
        <v>28</v>
      </c>
    </row>
    <row r="669" spans="1:17" x14ac:dyDescent="0.25">
      <c r="A669" t="s">
        <v>2310</v>
      </c>
      <c r="B669" t="s">
        <v>2170</v>
      </c>
      <c r="C669" t="s">
        <v>2171</v>
      </c>
      <c r="D669" t="s">
        <v>2311</v>
      </c>
      <c r="E669" t="s">
        <v>21</v>
      </c>
      <c r="F669" t="s">
        <v>83</v>
      </c>
      <c r="G669">
        <v>28202</v>
      </c>
      <c r="H669">
        <v>566</v>
      </c>
      <c r="I669">
        <v>13</v>
      </c>
      <c r="J669" s="4">
        <f>MAX(Inventory[[#This Row],[Qty On Hand]]-Inventory[[#This Row],[Qty Allocated]],0)</f>
        <v>553</v>
      </c>
      <c r="K669">
        <v>136</v>
      </c>
      <c r="L669" t="s">
        <v>2363</v>
      </c>
      <c r="M669" t="s">
        <v>2364</v>
      </c>
      <c r="N669" t="s">
        <v>1706</v>
      </c>
      <c r="O669" t="s">
        <v>26</v>
      </c>
      <c r="P669" t="s">
        <v>87</v>
      </c>
      <c r="Q669" t="s">
        <v>92</v>
      </c>
    </row>
    <row r="670" spans="1:17" x14ac:dyDescent="0.25">
      <c r="A670" t="s">
        <v>2310</v>
      </c>
      <c r="B670" t="s">
        <v>2170</v>
      </c>
      <c r="C670" t="s">
        <v>2171</v>
      </c>
      <c r="D670" t="s">
        <v>2311</v>
      </c>
      <c r="E670" t="s">
        <v>21</v>
      </c>
      <c r="F670" t="s">
        <v>83</v>
      </c>
      <c r="G670">
        <v>28202</v>
      </c>
      <c r="H670">
        <v>366</v>
      </c>
      <c r="I670">
        <v>9</v>
      </c>
      <c r="J670" s="4">
        <f>MAX(Inventory[[#This Row],[Qty On Hand]]-Inventory[[#This Row],[Qty Allocated]],0)</f>
        <v>357</v>
      </c>
      <c r="K670">
        <v>324</v>
      </c>
      <c r="L670" t="s">
        <v>2365</v>
      </c>
      <c r="M670" t="s">
        <v>2366</v>
      </c>
      <c r="N670" t="s">
        <v>598</v>
      </c>
      <c r="O670" t="s">
        <v>26</v>
      </c>
      <c r="P670" t="s">
        <v>2367</v>
      </c>
      <c r="Q670" t="s">
        <v>28</v>
      </c>
    </row>
    <row r="671" spans="1:17" x14ac:dyDescent="0.25">
      <c r="A671" t="s">
        <v>2368</v>
      </c>
      <c r="B671" t="s">
        <v>2170</v>
      </c>
      <c r="C671" t="s">
        <v>2171</v>
      </c>
      <c r="D671" t="s">
        <v>2311</v>
      </c>
      <c r="E671" t="s">
        <v>122</v>
      </c>
      <c r="F671" t="s">
        <v>35</v>
      </c>
      <c r="G671">
        <v>75201</v>
      </c>
      <c r="H671">
        <v>741</v>
      </c>
      <c r="I671">
        <v>80</v>
      </c>
      <c r="J671" s="4">
        <f>MAX(Inventory[[#This Row],[Qty On Hand]]-Inventory[[#This Row],[Qty Allocated]],0)</f>
        <v>661</v>
      </c>
      <c r="K671">
        <v>141</v>
      </c>
      <c r="L671" t="s">
        <v>2369</v>
      </c>
      <c r="M671" t="s">
        <v>2370</v>
      </c>
      <c r="N671" t="s">
        <v>638</v>
      </c>
      <c r="O671" t="s">
        <v>26</v>
      </c>
      <c r="P671" t="s">
        <v>2371</v>
      </c>
      <c r="Q671" t="s">
        <v>28</v>
      </c>
    </row>
    <row r="672" spans="1:17" x14ac:dyDescent="0.25">
      <c r="A672" t="s">
        <v>2368</v>
      </c>
      <c r="B672" t="s">
        <v>2170</v>
      </c>
      <c r="C672" t="s">
        <v>2171</v>
      </c>
      <c r="D672" t="s">
        <v>2311</v>
      </c>
      <c r="E672" t="s">
        <v>122</v>
      </c>
      <c r="F672" t="s">
        <v>35</v>
      </c>
      <c r="G672">
        <v>75201</v>
      </c>
      <c r="H672">
        <v>875</v>
      </c>
      <c r="I672">
        <v>80</v>
      </c>
      <c r="J672" s="4">
        <f>MAX(Inventory[[#This Row],[Qty On Hand]]-Inventory[[#This Row],[Qty Allocated]],0)</f>
        <v>795</v>
      </c>
      <c r="K672">
        <v>288</v>
      </c>
      <c r="L672" t="s">
        <v>2372</v>
      </c>
      <c r="M672" t="s">
        <v>2373</v>
      </c>
      <c r="N672" t="s">
        <v>393</v>
      </c>
      <c r="O672" t="s">
        <v>26</v>
      </c>
      <c r="P672" t="s">
        <v>1147</v>
      </c>
      <c r="Q672" t="s">
        <v>34</v>
      </c>
    </row>
    <row r="673" spans="1:17" x14ac:dyDescent="0.25">
      <c r="A673" t="s">
        <v>2368</v>
      </c>
      <c r="B673" t="s">
        <v>2170</v>
      </c>
      <c r="C673" t="s">
        <v>2171</v>
      </c>
      <c r="D673" t="s">
        <v>2311</v>
      </c>
      <c r="E673" t="s">
        <v>122</v>
      </c>
      <c r="F673" t="s">
        <v>35</v>
      </c>
      <c r="G673">
        <v>75201</v>
      </c>
      <c r="H673">
        <v>674</v>
      </c>
      <c r="I673">
        <v>39</v>
      </c>
      <c r="J673" s="4">
        <f>MAX(Inventory[[#This Row],[Qty On Hand]]-Inventory[[#This Row],[Qty Allocated]],0)</f>
        <v>635</v>
      </c>
      <c r="K673">
        <v>164</v>
      </c>
      <c r="L673" t="s">
        <v>2374</v>
      </c>
      <c r="M673" t="s">
        <v>2375</v>
      </c>
      <c r="N673" t="s">
        <v>2376</v>
      </c>
      <c r="O673" t="s">
        <v>26</v>
      </c>
      <c r="P673" t="s">
        <v>599</v>
      </c>
      <c r="Q673" t="s">
        <v>40</v>
      </c>
    </row>
    <row r="674" spans="1:17" x14ac:dyDescent="0.25">
      <c r="A674" t="s">
        <v>2368</v>
      </c>
      <c r="B674" t="s">
        <v>2170</v>
      </c>
      <c r="C674" t="s">
        <v>2171</v>
      </c>
      <c r="D674" t="s">
        <v>2311</v>
      </c>
      <c r="E674" t="s">
        <v>122</v>
      </c>
      <c r="F674" t="s">
        <v>35</v>
      </c>
      <c r="G674">
        <v>75201</v>
      </c>
      <c r="H674">
        <v>949</v>
      </c>
      <c r="I674">
        <v>94</v>
      </c>
      <c r="J674" s="4">
        <f>MAX(Inventory[[#This Row],[Qty On Hand]]-Inventory[[#This Row],[Qty Allocated]],0)</f>
        <v>855</v>
      </c>
      <c r="K674">
        <v>380</v>
      </c>
      <c r="L674" t="s">
        <v>2377</v>
      </c>
      <c r="M674" t="s">
        <v>2378</v>
      </c>
      <c r="N674" t="s">
        <v>1533</v>
      </c>
      <c r="O674" t="s">
        <v>26</v>
      </c>
      <c r="P674" t="s">
        <v>663</v>
      </c>
      <c r="Q674" t="s">
        <v>92</v>
      </c>
    </row>
    <row r="675" spans="1:17" x14ac:dyDescent="0.25">
      <c r="A675" t="s">
        <v>2368</v>
      </c>
      <c r="B675" t="s">
        <v>2170</v>
      </c>
      <c r="C675" t="s">
        <v>2171</v>
      </c>
      <c r="D675" t="s">
        <v>2311</v>
      </c>
      <c r="E675" t="s">
        <v>122</v>
      </c>
      <c r="F675" t="s">
        <v>35</v>
      </c>
      <c r="G675">
        <v>75201</v>
      </c>
      <c r="H675">
        <v>356</v>
      </c>
      <c r="I675">
        <v>16</v>
      </c>
      <c r="J675" s="4">
        <f>MAX(Inventory[[#This Row],[Qty On Hand]]-Inventory[[#This Row],[Qty Allocated]],0)</f>
        <v>340</v>
      </c>
      <c r="K675">
        <v>365</v>
      </c>
      <c r="L675" t="s">
        <v>2379</v>
      </c>
      <c r="M675" t="s">
        <v>2380</v>
      </c>
      <c r="N675" t="s">
        <v>2362</v>
      </c>
      <c r="O675" t="s">
        <v>26</v>
      </c>
      <c r="P675" t="s">
        <v>519</v>
      </c>
      <c r="Q675" t="s">
        <v>92</v>
      </c>
    </row>
    <row r="676" spans="1:17" x14ac:dyDescent="0.25">
      <c r="A676" t="s">
        <v>2368</v>
      </c>
      <c r="B676" t="s">
        <v>2170</v>
      </c>
      <c r="C676" t="s">
        <v>2171</v>
      </c>
      <c r="D676" t="s">
        <v>2311</v>
      </c>
      <c r="E676" t="s">
        <v>122</v>
      </c>
      <c r="F676" t="s">
        <v>62</v>
      </c>
      <c r="G676">
        <v>63101</v>
      </c>
      <c r="H676">
        <v>339</v>
      </c>
      <c r="I676">
        <v>90</v>
      </c>
      <c r="J676" s="4">
        <f>MAX(Inventory[[#This Row],[Qty On Hand]]-Inventory[[#This Row],[Qty Allocated]],0)</f>
        <v>249</v>
      </c>
      <c r="K676">
        <v>253</v>
      </c>
      <c r="L676" t="s">
        <v>2381</v>
      </c>
      <c r="M676" t="s">
        <v>2382</v>
      </c>
      <c r="N676" t="s">
        <v>928</v>
      </c>
      <c r="O676" t="s">
        <v>26</v>
      </c>
      <c r="P676" t="s">
        <v>2383</v>
      </c>
      <c r="Q676" t="s">
        <v>92</v>
      </c>
    </row>
    <row r="677" spans="1:17" x14ac:dyDescent="0.25">
      <c r="A677" t="s">
        <v>2368</v>
      </c>
      <c r="B677" t="s">
        <v>2170</v>
      </c>
      <c r="C677" t="s">
        <v>2171</v>
      </c>
      <c r="D677" t="s">
        <v>2311</v>
      </c>
      <c r="E677" t="s">
        <v>122</v>
      </c>
      <c r="F677" t="s">
        <v>62</v>
      </c>
      <c r="G677">
        <v>63101</v>
      </c>
      <c r="H677">
        <v>980</v>
      </c>
      <c r="I677">
        <v>9</v>
      </c>
      <c r="J677" s="4">
        <f>MAX(Inventory[[#This Row],[Qty On Hand]]-Inventory[[#This Row],[Qty Allocated]],0)</f>
        <v>971</v>
      </c>
      <c r="K677">
        <v>263</v>
      </c>
      <c r="L677" t="s">
        <v>1560</v>
      </c>
      <c r="M677" t="s">
        <v>2384</v>
      </c>
      <c r="N677" t="s">
        <v>320</v>
      </c>
      <c r="O677" t="s">
        <v>26</v>
      </c>
      <c r="P677" t="s">
        <v>920</v>
      </c>
      <c r="Q677" t="s">
        <v>28</v>
      </c>
    </row>
    <row r="678" spans="1:17" x14ac:dyDescent="0.25">
      <c r="A678" t="s">
        <v>2368</v>
      </c>
      <c r="B678" t="s">
        <v>2170</v>
      </c>
      <c r="C678" t="s">
        <v>2171</v>
      </c>
      <c r="D678" t="s">
        <v>2311</v>
      </c>
      <c r="E678" t="s">
        <v>122</v>
      </c>
      <c r="F678" t="s">
        <v>62</v>
      </c>
      <c r="G678">
        <v>63101</v>
      </c>
      <c r="H678">
        <v>930</v>
      </c>
      <c r="I678">
        <v>87</v>
      </c>
      <c r="J678" s="4">
        <f>MAX(Inventory[[#This Row],[Qty On Hand]]-Inventory[[#This Row],[Qty Allocated]],0)</f>
        <v>843</v>
      </c>
      <c r="K678">
        <v>208</v>
      </c>
      <c r="L678" t="s">
        <v>2385</v>
      </c>
      <c r="M678" t="s">
        <v>2386</v>
      </c>
      <c r="N678" t="s">
        <v>2387</v>
      </c>
      <c r="O678" t="s">
        <v>26</v>
      </c>
      <c r="P678" t="s">
        <v>522</v>
      </c>
      <c r="Q678" t="s">
        <v>40</v>
      </c>
    </row>
    <row r="679" spans="1:17" x14ac:dyDescent="0.25">
      <c r="A679" t="s">
        <v>2368</v>
      </c>
      <c r="B679" t="s">
        <v>2170</v>
      </c>
      <c r="C679" t="s">
        <v>2171</v>
      </c>
      <c r="D679" t="s">
        <v>2311</v>
      </c>
      <c r="E679" t="s">
        <v>122</v>
      </c>
      <c r="F679" t="s">
        <v>62</v>
      </c>
      <c r="G679">
        <v>63101</v>
      </c>
      <c r="H679">
        <v>562</v>
      </c>
      <c r="I679">
        <v>34</v>
      </c>
      <c r="J679" s="4">
        <f>MAX(Inventory[[#This Row],[Qty On Hand]]-Inventory[[#This Row],[Qty Allocated]],0)</f>
        <v>528</v>
      </c>
      <c r="K679">
        <v>252</v>
      </c>
      <c r="L679" t="s">
        <v>2388</v>
      </c>
      <c r="M679" t="s">
        <v>2389</v>
      </c>
      <c r="N679" t="s">
        <v>2390</v>
      </c>
      <c r="O679" t="s">
        <v>26</v>
      </c>
      <c r="P679" t="s">
        <v>2391</v>
      </c>
      <c r="Q679" t="s">
        <v>92</v>
      </c>
    </row>
    <row r="680" spans="1:17" x14ac:dyDescent="0.25">
      <c r="A680" t="s">
        <v>2368</v>
      </c>
      <c r="B680" t="s">
        <v>2170</v>
      </c>
      <c r="C680" t="s">
        <v>2171</v>
      </c>
      <c r="D680" t="s">
        <v>2311</v>
      </c>
      <c r="E680" t="s">
        <v>122</v>
      </c>
      <c r="F680" t="s">
        <v>62</v>
      </c>
      <c r="G680">
        <v>63101</v>
      </c>
      <c r="H680">
        <v>937</v>
      </c>
      <c r="I680">
        <v>43</v>
      </c>
      <c r="J680" s="4">
        <f>MAX(Inventory[[#This Row],[Qty On Hand]]-Inventory[[#This Row],[Qty Allocated]],0)</f>
        <v>894</v>
      </c>
      <c r="K680">
        <v>248</v>
      </c>
      <c r="L680" t="s">
        <v>2392</v>
      </c>
      <c r="M680" t="s">
        <v>2393</v>
      </c>
      <c r="N680" t="s">
        <v>2394</v>
      </c>
      <c r="O680" t="s">
        <v>26</v>
      </c>
      <c r="P680" t="s">
        <v>2395</v>
      </c>
      <c r="Q680" t="s">
        <v>28</v>
      </c>
    </row>
    <row r="681" spans="1:17" x14ac:dyDescent="0.25">
      <c r="A681" t="s">
        <v>2368</v>
      </c>
      <c r="B681" t="s">
        <v>2170</v>
      </c>
      <c r="C681" t="s">
        <v>2171</v>
      </c>
      <c r="D681" t="s">
        <v>2311</v>
      </c>
      <c r="E681" t="s">
        <v>122</v>
      </c>
      <c r="F681" t="s">
        <v>62</v>
      </c>
      <c r="G681">
        <v>63101</v>
      </c>
      <c r="H681">
        <v>505</v>
      </c>
      <c r="I681">
        <v>68</v>
      </c>
      <c r="J681" s="4">
        <f>MAX(Inventory[[#This Row],[Qty On Hand]]-Inventory[[#This Row],[Qty Allocated]],0)</f>
        <v>437</v>
      </c>
      <c r="K681">
        <v>322</v>
      </c>
      <c r="L681" t="s">
        <v>2396</v>
      </c>
      <c r="M681" t="s">
        <v>124</v>
      </c>
      <c r="N681" t="s">
        <v>2397</v>
      </c>
      <c r="O681" t="s">
        <v>26</v>
      </c>
      <c r="P681" t="s">
        <v>2398</v>
      </c>
      <c r="Q681" t="s">
        <v>40</v>
      </c>
    </row>
    <row r="682" spans="1:17" x14ac:dyDescent="0.25">
      <c r="A682" t="s">
        <v>2368</v>
      </c>
      <c r="B682" t="s">
        <v>2170</v>
      </c>
      <c r="C682" t="s">
        <v>2171</v>
      </c>
      <c r="D682" t="s">
        <v>2311</v>
      </c>
      <c r="E682" t="s">
        <v>122</v>
      </c>
      <c r="F682" t="s">
        <v>83</v>
      </c>
      <c r="G682">
        <v>28202</v>
      </c>
      <c r="H682">
        <v>969</v>
      </c>
      <c r="I682">
        <v>38</v>
      </c>
      <c r="J682" s="4">
        <f>MAX(Inventory[[#This Row],[Qty On Hand]]-Inventory[[#This Row],[Qty Allocated]],0)</f>
        <v>931</v>
      </c>
      <c r="K682">
        <v>315</v>
      </c>
      <c r="L682" t="s">
        <v>1889</v>
      </c>
      <c r="M682" t="s">
        <v>2399</v>
      </c>
      <c r="N682" t="s">
        <v>2400</v>
      </c>
      <c r="O682" t="s">
        <v>26</v>
      </c>
      <c r="P682" t="s">
        <v>1948</v>
      </c>
      <c r="Q682" t="s">
        <v>40</v>
      </c>
    </row>
    <row r="683" spans="1:17" x14ac:dyDescent="0.25">
      <c r="A683" t="s">
        <v>2368</v>
      </c>
      <c r="B683" t="s">
        <v>2170</v>
      </c>
      <c r="C683" t="s">
        <v>2171</v>
      </c>
      <c r="D683" t="s">
        <v>2311</v>
      </c>
      <c r="E683" t="s">
        <v>122</v>
      </c>
      <c r="F683" t="s">
        <v>83</v>
      </c>
      <c r="G683">
        <v>28202</v>
      </c>
      <c r="H683">
        <v>242</v>
      </c>
      <c r="I683">
        <v>12</v>
      </c>
      <c r="J683" s="4">
        <f>MAX(Inventory[[#This Row],[Qty On Hand]]-Inventory[[#This Row],[Qty Allocated]],0)</f>
        <v>230</v>
      </c>
      <c r="K683">
        <v>294</v>
      </c>
      <c r="L683" t="s">
        <v>2401</v>
      </c>
      <c r="M683" t="s">
        <v>2402</v>
      </c>
      <c r="N683" t="s">
        <v>2403</v>
      </c>
      <c r="O683" t="s">
        <v>48</v>
      </c>
      <c r="P683" t="s">
        <v>2404</v>
      </c>
      <c r="Q683" t="s">
        <v>40</v>
      </c>
    </row>
    <row r="684" spans="1:17" x14ac:dyDescent="0.25">
      <c r="A684" t="s">
        <v>2368</v>
      </c>
      <c r="B684" t="s">
        <v>2170</v>
      </c>
      <c r="C684" t="s">
        <v>2171</v>
      </c>
      <c r="D684" t="s">
        <v>2311</v>
      </c>
      <c r="E684" t="s">
        <v>122</v>
      </c>
      <c r="F684" t="s">
        <v>83</v>
      </c>
      <c r="G684">
        <v>28202</v>
      </c>
      <c r="H684">
        <v>456</v>
      </c>
      <c r="I684">
        <v>32</v>
      </c>
      <c r="J684" s="4">
        <f>MAX(Inventory[[#This Row],[Qty On Hand]]-Inventory[[#This Row],[Qty Allocated]],0)</f>
        <v>424</v>
      </c>
      <c r="K684">
        <v>369</v>
      </c>
      <c r="L684" t="s">
        <v>2405</v>
      </c>
      <c r="M684" t="s">
        <v>2406</v>
      </c>
      <c r="N684" t="s">
        <v>1618</v>
      </c>
      <c r="O684" t="s">
        <v>48</v>
      </c>
      <c r="P684" t="s">
        <v>2407</v>
      </c>
      <c r="Q684" t="s">
        <v>40</v>
      </c>
    </row>
    <row r="685" spans="1:17" x14ac:dyDescent="0.25">
      <c r="A685" t="s">
        <v>2368</v>
      </c>
      <c r="B685" t="s">
        <v>2170</v>
      </c>
      <c r="C685" t="s">
        <v>2171</v>
      </c>
      <c r="D685" t="s">
        <v>2311</v>
      </c>
      <c r="E685" t="s">
        <v>122</v>
      </c>
      <c r="F685" t="s">
        <v>83</v>
      </c>
      <c r="G685">
        <v>28202</v>
      </c>
      <c r="H685">
        <v>558</v>
      </c>
      <c r="I685">
        <v>40</v>
      </c>
      <c r="J685" s="4">
        <f>MAX(Inventory[[#This Row],[Qty On Hand]]-Inventory[[#This Row],[Qty Allocated]],0)</f>
        <v>518</v>
      </c>
      <c r="K685">
        <v>257</v>
      </c>
      <c r="L685" t="s">
        <v>2408</v>
      </c>
      <c r="M685" t="s">
        <v>2409</v>
      </c>
      <c r="N685" t="s">
        <v>786</v>
      </c>
      <c r="O685" t="s">
        <v>26</v>
      </c>
      <c r="P685" t="s">
        <v>2410</v>
      </c>
      <c r="Q685" t="s">
        <v>40</v>
      </c>
    </row>
    <row r="686" spans="1:17" x14ac:dyDescent="0.25">
      <c r="A686" t="s">
        <v>2368</v>
      </c>
      <c r="B686" t="s">
        <v>2170</v>
      </c>
      <c r="C686" t="s">
        <v>2171</v>
      </c>
      <c r="D686" t="s">
        <v>2311</v>
      </c>
      <c r="E686" t="s">
        <v>122</v>
      </c>
      <c r="F686" t="s">
        <v>83</v>
      </c>
      <c r="G686">
        <v>28202</v>
      </c>
      <c r="H686">
        <v>320</v>
      </c>
      <c r="I686">
        <v>15</v>
      </c>
      <c r="J686" s="4">
        <f>MAX(Inventory[[#This Row],[Qty On Hand]]-Inventory[[#This Row],[Qty Allocated]],0)</f>
        <v>305</v>
      </c>
      <c r="K686">
        <v>285</v>
      </c>
      <c r="L686" t="s">
        <v>2411</v>
      </c>
      <c r="M686" t="s">
        <v>2412</v>
      </c>
      <c r="N686" t="s">
        <v>268</v>
      </c>
      <c r="O686" t="s">
        <v>48</v>
      </c>
      <c r="P686" t="s">
        <v>2413</v>
      </c>
      <c r="Q686" t="s">
        <v>92</v>
      </c>
    </row>
    <row r="687" spans="1:17" x14ac:dyDescent="0.25">
      <c r="A687" t="s">
        <v>2368</v>
      </c>
      <c r="B687" t="s">
        <v>2170</v>
      </c>
      <c r="C687" t="s">
        <v>2171</v>
      </c>
      <c r="D687" t="s">
        <v>2311</v>
      </c>
      <c r="E687" t="s">
        <v>122</v>
      </c>
      <c r="F687" t="s">
        <v>83</v>
      </c>
      <c r="G687">
        <v>28202</v>
      </c>
      <c r="H687">
        <v>219</v>
      </c>
      <c r="I687">
        <v>51</v>
      </c>
      <c r="J687" s="4">
        <f>MAX(Inventory[[#This Row],[Qty On Hand]]-Inventory[[#This Row],[Qty Allocated]],0)</f>
        <v>168</v>
      </c>
      <c r="K687">
        <v>254</v>
      </c>
      <c r="L687" t="s">
        <v>2414</v>
      </c>
      <c r="M687" t="s">
        <v>2415</v>
      </c>
      <c r="N687" t="s">
        <v>1305</v>
      </c>
      <c r="O687" t="s">
        <v>26</v>
      </c>
      <c r="P687" t="s">
        <v>2113</v>
      </c>
      <c r="Q687" t="s">
        <v>92</v>
      </c>
    </row>
    <row r="688" spans="1:17" x14ac:dyDescent="0.25">
      <c r="A688" t="s">
        <v>2416</v>
      </c>
      <c r="B688" t="s">
        <v>2170</v>
      </c>
      <c r="C688" t="s">
        <v>2171</v>
      </c>
      <c r="D688" t="s">
        <v>2311</v>
      </c>
      <c r="E688" t="s">
        <v>171</v>
      </c>
      <c r="F688" t="s">
        <v>22</v>
      </c>
      <c r="G688">
        <v>94102</v>
      </c>
      <c r="H688">
        <v>9</v>
      </c>
      <c r="I688">
        <v>4</v>
      </c>
      <c r="J688" s="4">
        <f>MAX(Inventory[[#This Row],[Qty On Hand]]-Inventory[[#This Row],[Qty Allocated]],0)</f>
        <v>5</v>
      </c>
      <c r="K688">
        <v>307</v>
      </c>
      <c r="L688" t="s">
        <v>2417</v>
      </c>
      <c r="M688" t="s">
        <v>2418</v>
      </c>
      <c r="N688" t="s">
        <v>1395</v>
      </c>
      <c r="O688" t="s">
        <v>26</v>
      </c>
      <c r="P688" t="s">
        <v>2419</v>
      </c>
      <c r="Q688" t="s">
        <v>28</v>
      </c>
    </row>
    <row r="689" spans="1:17" x14ac:dyDescent="0.25">
      <c r="A689" t="s">
        <v>2416</v>
      </c>
      <c r="B689" t="s">
        <v>2170</v>
      </c>
      <c r="C689" t="s">
        <v>2171</v>
      </c>
      <c r="D689" t="s">
        <v>2311</v>
      </c>
      <c r="E689" t="s">
        <v>171</v>
      </c>
      <c r="F689" t="s">
        <v>35</v>
      </c>
      <c r="G689">
        <v>75201</v>
      </c>
      <c r="H689">
        <v>860</v>
      </c>
      <c r="I689">
        <v>44</v>
      </c>
      <c r="J689" s="4">
        <f>MAX(Inventory[[#This Row],[Qty On Hand]]-Inventory[[#This Row],[Qty Allocated]],0)</f>
        <v>816</v>
      </c>
      <c r="K689">
        <v>186</v>
      </c>
      <c r="L689" t="s">
        <v>2420</v>
      </c>
      <c r="M689" t="s">
        <v>2421</v>
      </c>
      <c r="N689" t="s">
        <v>2422</v>
      </c>
      <c r="O689" t="s">
        <v>26</v>
      </c>
      <c r="P689" t="s">
        <v>2423</v>
      </c>
      <c r="Q689" t="s">
        <v>92</v>
      </c>
    </row>
    <row r="690" spans="1:17" x14ac:dyDescent="0.25">
      <c r="A690" t="s">
        <v>2416</v>
      </c>
      <c r="B690" t="s">
        <v>2170</v>
      </c>
      <c r="C690" t="s">
        <v>2171</v>
      </c>
      <c r="D690" t="s">
        <v>2311</v>
      </c>
      <c r="E690" t="s">
        <v>171</v>
      </c>
      <c r="F690" t="s">
        <v>35</v>
      </c>
      <c r="G690">
        <v>75201</v>
      </c>
      <c r="H690">
        <v>664</v>
      </c>
      <c r="I690">
        <v>49</v>
      </c>
      <c r="J690" s="4">
        <f>MAX(Inventory[[#This Row],[Qty On Hand]]-Inventory[[#This Row],[Qty Allocated]],0)</f>
        <v>615</v>
      </c>
      <c r="K690">
        <v>196</v>
      </c>
      <c r="L690" t="s">
        <v>2424</v>
      </c>
      <c r="M690" t="s">
        <v>2425</v>
      </c>
      <c r="N690" t="s">
        <v>2426</v>
      </c>
      <c r="O690" t="s">
        <v>48</v>
      </c>
      <c r="P690" t="s">
        <v>233</v>
      </c>
      <c r="Q690" t="s">
        <v>28</v>
      </c>
    </row>
    <row r="691" spans="1:17" x14ac:dyDescent="0.25">
      <c r="A691" t="s">
        <v>2416</v>
      </c>
      <c r="B691" t="s">
        <v>2170</v>
      </c>
      <c r="C691" t="s">
        <v>2171</v>
      </c>
      <c r="D691" t="s">
        <v>2311</v>
      </c>
      <c r="E691" t="s">
        <v>171</v>
      </c>
      <c r="F691" t="s">
        <v>35</v>
      </c>
      <c r="G691">
        <v>75201</v>
      </c>
      <c r="H691">
        <v>772</v>
      </c>
      <c r="I691">
        <v>62</v>
      </c>
      <c r="J691" s="4">
        <f>MAX(Inventory[[#This Row],[Qty On Hand]]-Inventory[[#This Row],[Qty Allocated]],0)</f>
        <v>710</v>
      </c>
      <c r="K691">
        <v>107</v>
      </c>
      <c r="L691" t="s">
        <v>2427</v>
      </c>
      <c r="M691" t="s">
        <v>2428</v>
      </c>
      <c r="N691" t="s">
        <v>481</v>
      </c>
      <c r="O691" t="s">
        <v>26</v>
      </c>
      <c r="P691" t="s">
        <v>2429</v>
      </c>
      <c r="Q691" t="s">
        <v>28</v>
      </c>
    </row>
    <row r="692" spans="1:17" x14ac:dyDescent="0.25">
      <c r="A692" t="s">
        <v>2416</v>
      </c>
      <c r="B692" t="s">
        <v>2170</v>
      </c>
      <c r="C692" t="s">
        <v>2171</v>
      </c>
      <c r="D692" t="s">
        <v>2311</v>
      </c>
      <c r="E692" t="s">
        <v>171</v>
      </c>
      <c r="F692" t="s">
        <v>35</v>
      </c>
      <c r="G692">
        <v>75201</v>
      </c>
      <c r="H692">
        <v>662</v>
      </c>
      <c r="I692">
        <v>71</v>
      </c>
      <c r="J692" s="4">
        <f>MAX(Inventory[[#This Row],[Qty On Hand]]-Inventory[[#This Row],[Qty Allocated]],0)</f>
        <v>591</v>
      </c>
      <c r="K692">
        <v>107</v>
      </c>
      <c r="L692" t="s">
        <v>2430</v>
      </c>
      <c r="M692" t="s">
        <v>2431</v>
      </c>
      <c r="N692" t="s">
        <v>2275</v>
      </c>
      <c r="O692" t="s">
        <v>26</v>
      </c>
      <c r="P692" t="s">
        <v>394</v>
      </c>
      <c r="Q692" t="s">
        <v>40</v>
      </c>
    </row>
    <row r="693" spans="1:17" x14ac:dyDescent="0.25">
      <c r="A693" t="s">
        <v>2416</v>
      </c>
      <c r="B693" t="s">
        <v>2170</v>
      </c>
      <c r="C693" t="s">
        <v>2171</v>
      </c>
      <c r="D693" t="s">
        <v>2311</v>
      </c>
      <c r="E693" t="s">
        <v>171</v>
      </c>
      <c r="F693" t="s">
        <v>62</v>
      </c>
      <c r="G693">
        <v>63101</v>
      </c>
      <c r="H693">
        <v>679</v>
      </c>
      <c r="I693">
        <v>87</v>
      </c>
      <c r="J693" s="4">
        <f>MAX(Inventory[[#This Row],[Qty On Hand]]-Inventory[[#This Row],[Qty Allocated]],0)</f>
        <v>592</v>
      </c>
      <c r="K693">
        <v>344</v>
      </c>
      <c r="L693" t="s">
        <v>172</v>
      </c>
      <c r="M693" t="s">
        <v>2432</v>
      </c>
      <c r="N693" t="s">
        <v>2433</v>
      </c>
      <c r="O693" t="s">
        <v>26</v>
      </c>
      <c r="P693" t="s">
        <v>798</v>
      </c>
      <c r="Q693" t="s">
        <v>28</v>
      </c>
    </row>
    <row r="694" spans="1:17" x14ac:dyDescent="0.25">
      <c r="A694" t="s">
        <v>2416</v>
      </c>
      <c r="B694" t="s">
        <v>2170</v>
      </c>
      <c r="C694" t="s">
        <v>2171</v>
      </c>
      <c r="D694" t="s">
        <v>2311</v>
      </c>
      <c r="E694" t="s">
        <v>171</v>
      </c>
      <c r="F694" t="s">
        <v>62</v>
      </c>
      <c r="G694">
        <v>63101</v>
      </c>
      <c r="H694">
        <v>768</v>
      </c>
      <c r="I694">
        <v>56</v>
      </c>
      <c r="J694" s="4">
        <f>MAX(Inventory[[#This Row],[Qty On Hand]]-Inventory[[#This Row],[Qty Allocated]],0)</f>
        <v>712</v>
      </c>
      <c r="K694">
        <v>177</v>
      </c>
      <c r="L694" t="s">
        <v>2434</v>
      </c>
      <c r="M694" t="s">
        <v>2435</v>
      </c>
      <c r="N694" t="s">
        <v>650</v>
      </c>
      <c r="O694" t="s">
        <v>48</v>
      </c>
      <c r="P694" t="s">
        <v>1053</v>
      </c>
      <c r="Q694" t="s">
        <v>34</v>
      </c>
    </row>
    <row r="695" spans="1:17" x14ac:dyDescent="0.25">
      <c r="A695" t="s">
        <v>2416</v>
      </c>
      <c r="B695" t="s">
        <v>2170</v>
      </c>
      <c r="C695" t="s">
        <v>2171</v>
      </c>
      <c r="D695" t="s">
        <v>2311</v>
      </c>
      <c r="E695" t="s">
        <v>171</v>
      </c>
      <c r="F695" t="s">
        <v>62</v>
      </c>
      <c r="G695">
        <v>63101</v>
      </c>
      <c r="H695">
        <v>557</v>
      </c>
      <c r="I695">
        <v>99</v>
      </c>
      <c r="J695" s="4">
        <f>MAX(Inventory[[#This Row],[Qty On Hand]]-Inventory[[#This Row],[Qty Allocated]],0)</f>
        <v>458</v>
      </c>
      <c r="K695">
        <v>124</v>
      </c>
      <c r="L695" t="s">
        <v>2436</v>
      </c>
      <c r="M695" t="s">
        <v>2437</v>
      </c>
      <c r="N695" t="s">
        <v>853</v>
      </c>
      <c r="O695" t="s">
        <v>26</v>
      </c>
      <c r="P695" t="s">
        <v>2438</v>
      </c>
      <c r="Q695" t="s">
        <v>92</v>
      </c>
    </row>
    <row r="696" spans="1:17" x14ac:dyDescent="0.25">
      <c r="A696" t="s">
        <v>2416</v>
      </c>
      <c r="B696" t="s">
        <v>2170</v>
      </c>
      <c r="C696" t="s">
        <v>2171</v>
      </c>
      <c r="D696" t="s">
        <v>2311</v>
      </c>
      <c r="E696" t="s">
        <v>171</v>
      </c>
      <c r="F696" t="s">
        <v>62</v>
      </c>
      <c r="G696">
        <v>63101</v>
      </c>
      <c r="H696">
        <v>392</v>
      </c>
      <c r="I696">
        <v>26</v>
      </c>
      <c r="J696" s="4">
        <f>MAX(Inventory[[#This Row],[Qty On Hand]]-Inventory[[#This Row],[Qty Allocated]],0)</f>
        <v>366</v>
      </c>
      <c r="K696">
        <v>379</v>
      </c>
      <c r="L696" t="s">
        <v>2439</v>
      </c>
      <c r="M696" t="s">
        <v>2440</v>
      </c>
      <c r="N696" t="s">
        <v>916</v>
      </c>
      <c r="O696" t="s">
        <v>48</v>
      </c>
      <c r="P696" t="s">
        <v>1735</v>
      </c>
      <c r="Q696" t="s">
        <v>34</v>
      </c>
    </row>
    <row r="697" spans="1:17" x14ac:dyDescent="0.25">
      <c r="A697" t="s">
        <v>2416</v>
      </c>
      <c r="B697" t="s">
        <v>2170</v>
      </c>
      <c r="C697" t="s">
        <v>2171</v>
      </c>
      <c r="D697" t="s">
        <v>2311</v>
      </c>
      <c r="E697" t="s">
        <v>171</v>
      </c>
      <c r="F697" t="s">
        <v>62</v>
      </c>
      <c r="G697">
        <v>63101</v>
      </c>
      <c r="H697">
        <v>355</v>
      </c>
      <c r="I697">
        <v>38</v>
      </c>
      <c r="J697" s="4">
        <f>MAX(Inventory[[#This Row],[Qty On Hand]]-Inventory[[#This Row],[Qty Allocated]],0)</f>
        <v>317</v>
      </c>
      <c r="K697">
        <v>352</v>
      </c>
      <c r="L697" t="s">
        <v>2441</v>
      </c>
      <c r="M697" t="s">
        <v>2442</v>
      </c>
      <c r="N697" t="s">
        <v>2426</v>
      </c>
      <c r="O697" t="s">
        <v>26</v>
      </c>
      <c r="P697" t="s">
        <v>2443</v>
      </c>
      <c r="Q697" t="s">
        <v>28</v>
      </c>
    </row>
    <row r="698" spans="1:17" x14ac:dyDescent="0.25">
      <c r="A698" t="s">
        <v>2416</v>
      </c>
      <c r="B698" t="s">
        <v>2170</v>
      </c>
      <c r="C698" t="s">
        <v>2171</v>
      </c>
      <c r="D698" t="s">
        <v>2311</v>
      </c>
      <c r="E698" t="s">
        <v>171</v>
      </c>
      <c r="F698" t="s">
        <v>83</v>
      </c>
      <c r="G698">
        <v>28202</v>
      </c>
      <c r="H698">
        <v>513</v>
      </c>
      <c r="I698">
        <v>84</v>
      </c>
      <c r="J698" s="4">
        <f>MAX(Inventory[[#This Row],[Qty On Hand]]-Inventory[[#This Row],[Qty Allocated]],0)</f>
        <v>429</v>
      </c>
      <c r="K698">
        <v>331</v>
      </c>
      <c r="L698" t="s">
        <v>2444</v>
      </c>
      <c r="M698" t="s">
        <v>2445</v>
      </c>
      <c r="N698" t="s">
        <v>2446</v>
      </c>
      <c r="O698" t="s">
        <v>48</v>
      </c>
      <c r="P698" t="s">
        <v>33</v>
      </c>
      <c r="Q698" t="s">
        <v>34</v>
      </c>
    </row>
    <row r="699" spans="1:17" x14ac:dyDescent="0.25">
      <c r="A699" t="s">
        <v>2416</v>
      </c>
      <c r="B699" t="s">
        <v>2170</v>
      </c>
      <c r="C699" t="s">
        <v>2171</v>
      </c>
      <c r="D699" t="s">
        <v>2311</v>
      </c>
      <c r="E699" t="s">
        <v>171</v>
      </c>
      <c r="F699" t="s">
        <v>83</v>
      </c>
      <c r="G699">
        <v>28202</v>
      </c>
      <c r="H699">
        <v>767</v>
      </c>
      <c r="I699">
        <v>4</v>
      </c>
      <c r="J699" s="4">
        <f>MAX(Inventory[[#This Row],[Qty On Hand]]-Inventory[[#This Row],[Qty Allocated]],0)</f>
        <v>763</v>
      </c>
      <c r="K699">
        <v>319</v>
      </c>
      <c r="L699" t="s">
        <v>2447</v>
      </c>
      <c r="M699" t="s">
        <v>2448</v>
      </c>
      <c r="N699" t="s">
        <v>1928</v>
      </c>
      <c r="O699" t="s">
        <v>26</v>
      </c>
      <c r="P699" t="s">
        <v>1595</v>
      </c>
      <c r="Q699" t="s">
        <v>34</v>
      </c>
    </row>
    <row r="700" spans="1:17" x14ac:dyDescent="0.25">
      <c r="A700" t="s">
        <v>2416</v>
      </c>
      <c r="B700" t="s">
        <v>2170</v>
      </c>
      <c r="C700" t="s">
        <v>2171</v>
      </c>
      <c r="D700" t="s">
        <v>2311</v>
      </c>
      <c r="E700" t="s">
        <v>171</v>
      </c>
      <c r="F700" t="s">
        <v>83</v>
      </c>
      <c r="G700">
        <v>28202</v>
      </c>
      <c r="H700">
        <v>434</v>
      </c>
      <c r="I700">
        <v>92</v>
      </c>
      <c r="J700" s="4">
        <f>MAX(Inventory[[#This Row],[Qty On Hand]]-Inventory[[#This Row],[Qty Allocated]],0)</f>
        <v>342</v>
      </c>
      <c r="K700">
        <v>321</v>
      </c>
      <c r="L700" t="s">
        <v>2449</v>
      </c>
      <c r="M700" t="s">
        <v>2450</v>
      </c>
      <c r="N700" t="s">
        <v>1196</v>
      </c>
      <c r="O700" t="s">
        <v>26</v>
      </c>
      <c r="P700" t="s">
        <v>2451</v>
      </c>
      <c r="Q700" t="s">
        <v>92</v>
      </c>
    </row>
    <row r="701" spans="1:17" x14ac:dyDescent="0.25">
      <c r="A701" t="s">
        <v>2416</v>
      </c>
      <c r="B701" t="s">
        <v>2170</v>
      </c>
      <c r="C701" t="s">
        <v>2171</v>
      </c>
      <c r="D701" t="s">
        <v>2311</v>
      </c>
      <c r="E701" t="s">
        <v>171</v>
      </c>
      <c r="F701" t="s">
        <v>83</v>
      </c>
      <c r="G701">
        <v>28202</v>
      </c>
      <c r="H701">
        <v>653</v>
      </c>
      <c r="I701">
        <v>65</v>
      </c>
      <c r="J701" s="4">
        <f>MAX(Inventory[[#This Row],[Qty On Hand]]-Inventory[[#This Row],[Qty Allocated]],0)</f>
        <v>588</v>
      </c>
      <c r="K701">
        <v>187</v>
      </c>
      <c r="L701" t="s">
        <v>2452</v>
      </c>
      <c r="M701" t="s">
        <v>2453</v>
      </c>
      <c r="N701" t="s">
        <v>347</v>
      </c>
      <c r="O701" t="s">
        <v>48</v>
      </c>
      <c r="P701" t="s">
        <v>2454</v>
      </c>
      <c r="Q701" t="s">
        <v>34</v>
      </c>
    </row>
    <row r="702" spans="1:17" x14ac:dyDescent="0.25">
      <c r="A702" t="s">
        <v>2416</v>
      </c>
      <c r="B702" t="s">
        <v>2170</v>
      </c>
      <c r="C702" t="s">
        <v>2171</v>
      </c>
      <c r="D702" t="s">
        <v>2311</v>
      </c>
      <c r="E702" t="s">
        <v>171</v>
      </c>
      <c r="F702" t="s">
        <v>83</v>
      </c>
      <c r="G702">
        <v>28202</v>
      </c>
      <c r="H702">
        <v>934</v>
      </c>
      <c r="I702">
        <v>4</v>
      </c>
      <c r="J702" s="4">
        <f>MAX(Inventory[[#This Row],[Qty On Hand]]-Inventory[[#This Row],[Qty Allocated]],0)</f>
        <v>930</v>
      </c>
      <c r="K702">
        <v>262</v>
      </c>
      <c r="L702" t="s">
        <v>2455</v>
      </c>
      <c r="M702" t="s">
        <v>2456</v>
      </c>
      <c r="N702" t="s">
        <v>2457</v>
      </c>
      <c r="O702" t="s">
        <v>26</v>
      </c>
      <c r="P702" t="s">
        <v>2458</v>
      </c>
      <c r="Q702" t="s">
        <v>28</v>
      </c>
    </row>
    <row r="703" spans="1:17" x14ac:dyDescent="0.25">
      <c r="A703" t="s">
        <v>2459</v>
      </c>
      <c r="B703" t="s">
        <v>2170</v>
      </c>
      <c r="C703" t="s">
        <v>2171</v>
      </c>
      <c r="D703" t="s">
        <v>2460</v>
      </c>
      <c r="E703" t="s">
        <v>21</v>
      </c>
      <c r="F703" t="s">
        <v>22</v>
      </c>
      <c r="G703">
        <v>94102</v>
      </c>
      <c r="H703">
        <v>6</v>
      </c>
      <c r="I703">
        <v>1</v>
      </c>
      <c r="J703" s="4">
        <f>MAX(Inventory[[#This Row],[Qty On Hand]]-Inventory[[#This Row],[Qty Allocated]],0)</f>
        <v>5</v>
      </c>
      <c r="K703">
        <v>344</v>
      </c>
      <c r="L703" t="s">
        <v>2160</v>
      </c>
      <c r="M703" t="s">
        <v>2461</v>
      </c>
      <c r="N703" t="s">
        <v>2462</v>
      </c>
      <c r="O703" t="s">
        <v>26</v>
      </c>
      <c r="P703" t="s">
        <v>2463</v>
      </c>
      <c r="Q703" t="s">
        <v>28</v>
      </c>
    </row>
    <row r="704" spans="1:17" x14ac:dyDescent="0.25">
      <c r="A704" t="s">
        <v>2459</v>
      </c>
      <c r="B704" t="s">
        <v>2170</v>
      </c>
      <c r="C704" t="s">
        <v>2171</v>
      </c>
      <c r="D704" t="s">
        <v>2460</v>
      </c>
      <c r="E704" t="s">
        <v>21</v>
      </c>
      <c r="F704" t="s">
        <v>29</v>
      </c>
      <c r="G704">
        <v>98072</v>
      </c>
      <c r="H704">
        <v>342</v>
      </c>
      <c r="I704">
        <v>40</v>
      </c>
      <c r="J704" s="4">
        <f>MAX(Inventory[[#This Row],[Qty On Hand]]-Inventory[[#This Row],[Qty Allocated]],0)</f>
        <v>302</v>
      </c>
      <c r="K704">
        <v>396</v>
      </c>
      <c r="L704" t="s">
        <v>2464</v>
      </c>
      <c r="M704" t="s">
        <v>2465</v>
      </c>
      <c r="N704" t="s">
        <v>2466</v>
      </c>
      <c r="O704" t="s">
        <v>26</v>
      </c>
      <c r="P704" t="s">
        <v>336</v>
      </c>
      <c r="Q704" t="s">
        <v>28</v>
      </c>
    </row>
    <row r="705" spans="1:17" x14ac:dyDescent="0.25">
      <c r="A705" t="s">
        <v>2459</v>
      </c>
      <c r="B705" t="s">
        <v>2170</v>
      </c>
      <c r="C705" t="s">
        <v>2171</v>
      </c>
      <c r="D705" t="s">
        <v>2460</v>
      </c>
      <c r="E705" t="s">
        <v>21</v>
      </c>
      <c r="F705" t="s">
        <v>35</v>
      </c>
      <c r="G705">
        <v>75201</v>
      </c>
      <c r="H705">
        <v>570</v>
      </c>
      <c r="I705">
        <v>93</v>
      </c>
      <c r="J705" s="4">
        <f>MAX(Inventory[[#This Row],[Qty On Hand]]-Inventory[[#This Row],[Qty Allocated]],0)</f>
        <v>477</v>
      </c>
      <c r="K705">
        <v>276</v>
      </c>
      <c r="L705" t="s">
        <v>2467</v>
      </c>
      <c r="M705" t="s">
        <v>2468</v>
      </c>
      <c r="N705" t="s">
        <v>2469</v>
      </c>
      <c r="O705" t="s">
        <v>48</v>
      </c>
      <c r="P705" t="s">
        <v>191</v>
      </c>
      <c r="Q705" t="s">
        <v>28</v>
      </c>
    </row>
    <row r="706" spans="1:17" x14ac:dyDescent="0.25">
      <c r="A706" t="s">
        <v>2459</v>
      </c>
      <c r="B706" t="s">
        <v>2170</v>
      </c>
      <c r="C706" t="s">
        <v>2171</v>
      </c>
      <c r="D706" t="s">
        <v>2460</v>
      </c>
      <c r="E706" t="s">
        <v>21</v>
      </c>
      <c r="F706" t="s">
        <v>35</v>
      </c>
      <c r="G706">
        <v>75201</v>
      </c>
      <c r="H706">
        <v>801</v>
      </c>
      <c r="I706">
        <v>49</v>
      </c>
      <c r="J706" s="4">
        <f>MAX(Inventory[[#This Row],[Qty On Hand]]-Inventory[[#This Row],[Qty Allocated]],0)</f>
        <v>752</v>
      </c>
      <c r="K706">
        <v>104</v>
      </c>
      <c r="L706" t="s">
        <v>2470</v>
      </c>
      <c r="M706" t="s">
        <v>2471</v>
      </c>
      <c r="N706" t="s">
        <v>2472</v>
      </c>
      <c r="O706" t="s">
        <v>26</v>
      </c>
      <c r="P706" t="s">
        <v>2473</v>
      </c>
      <c r="Q706" t="s">
        <v>34</v>
      </c>
    </row>
    <row r="707" spans="1:17" x14ac:dyDescent="0.25">
      <c r="A707" t="s">
        <v>2459</v>
      </c>
      <c r="B707" t="s">
        <v>2170</v>
      </c>
      <c r="C707" t="s">
        <v>2171</v>
      </c>
      <c r="D707" t="s">
        <v>2460</v>
      </c>
      <c r="E707" t="s">
        <v>21</v>
      </c>
      <c r="F707" t="s">
        <v>35</v>
      </c>
      <c r="G707">
        <v>75201</v>
      </c>
      <c r="H707">
        <v>730</v>
      </c>
      <c r="I707">
        <v>13</v>
      </c>
      <c r="J707" s="4">
        <f>MAX(Inventory[[#This Row],[Qty On Hand]]-Inventory[[#This Row],[Qty Allocated]],0)</f>
        <v>717</v>
      </c>
      <c r="K707">
        <v>308</v>
      </c>
      <c r="L707" t="s">
        <v>2474</v>
      </c>
      <c r="M707" t="s">
        <v>2475</v>
      </c>
      <c r="N707" t="s">
        <v>1951</v>
      </c>
      <c r="O707" t="s">
        <v>26</v>
      </c>
      <c r="P707" t="s">
        <v>1234</v>
      </c>
      <c r="Q707" t="s">
        <v>40</v>
      </c>
    </row>
    <row r="708" spans="1:17" x14ac:dyDescent="0.25">
      <c r="A708" t="s">
        <v>2459</v>
      </c>
      <c r="B708" t="s">
        <v>2170</v>
      </c>
      <c r="C708" t="s">
        <v>2171</v>
      </c>
      <c r="D708" t="s">
        <v>2460</v>
      </c>
      <c r="E708" t="s">
        <v>21</v>
      </c>
      <c r="F708" t="s">
        <v>35</v>
      </c>
      <c r="G708">
        <v>75201</v>
      </c>
      <c r="H708">
        <v>941</v>
      </c>
      <c r="I708">
        <v>28</v>
      </c>
      <c r="J708" s="4">
        <f>MAX(Inventory[[#This Row],[Qty On Hand]]-Inventory[[#This Row],[Qty Allocated]],0)</f>
        <v>913</v>
      </c>
      <c r="K708">
        <v>379</v>
      </c>
      <c r="L708" t="s">
        <v>2476</v>
      </c>
      <c r="M708" t="s">
        <v>2477</v>
      </c>
      <c r="N708" t="s">
        <v>1676</v>
      </c>
      <c r="O708" t="s">
        <v>26</v>
      </c>
      <c r="P708" t="s">
        <v>261</v>
      </c>
      <c r="Q708" t="s">
        <v>40</v>
      </c>
    </row>
    <row r="709" spans="1:17" x14ac:dyDescent="0.25">
      <c r="A709" t="s">
        <v>2459</v>
      </c>
      <c r="B709" t="s">
        <v>2170</v>
      </c>
      <c r="C709" t="s">
        <v>2171</v>
      </c>
      <c r="D709" t="s">
        <v>2460</v>
      </c>
      <c r="E709" t="s">
        <v>21</v>
      </c>
      <c r="F709" t="s">
        <v>35</v>
      </c>
      <c r="G709">
        <v>75201</v>
      </c>
      <c r="H709">
        <v>303</v>
      </c>
      <c r="I709">
        <v>55</v>
      </c>
      <c r="J709" s="4">
        <f>MAX(Inventory[[#This Row],[Qty On Hand]]-Inventory[[#This Row],[Qty Allocated]],0)</f>
        <v>248</v>
      </c>
      <c r="K709">
        <v>320</v>
      </c>
      <c r="L709" t="s">
        <v>2478</v>
      </c>
      <c r="M709" t="s">
        <v>2479</v>
      </c>
      <c r="N709" t="s">
        <v>1882</v>
      </c>
      <c r="O709" t="s">
        <v>48</v>
      </c>
      <c r="P709" t="s">
        <v>1520</v>
      </c>
      <c r="Q709" t="s">
        <v>34</v>
      </c>
    </row>
    <row r="710" spans="1:17" x14ac:dyDescent="0.25">
      <c r="A710" t="s">
        <v>2459</v>
      </c>
      <c r="B710" t="s">
        <v>2170</v>
      </c>
      <c r="C710" t="s">
        <v>2171</v>
      </c>
      <c r="D710" t="s">
        <v>2460</v>
      </c>
      <c r="E710" t="s">
        <v>21</v>
      </c>
      <c r="F710" t="s">
        <v>62</v>
      </c>
      <c r="G710">
        <v>63101</v>
      </c>
      <c r="H710">
        <v>469</v>
      </c>
      <c r="I710">
        <v>76</v>
      </c>
      <c r="J710" s="4">
        <f>MAX(Inventory[[#This Row],[Qty On Hand]]-Inventory[[#This Row],[Qty Allocated]],0)</f>
        <v>393</v>
      </c>
      <c r="K710">
        <v>187</v>
      </c>
      <c r="L710" t="s">
        <v>2480</v>
      </c>
      <c r="M710" t="s">
        <v>2481</v>
      </c>
      <c r="N710" t="s">
        <v>115</v>
      </c>
      <c r="O710" t="s">
        <v>26</v>
      </c>
      <c r="P710" t="s">
        <v>2482</v>
      </c>
      <c r="Q710" t="s">
        <v>40</v>
      </c>
    </row>
    <row r="711" spans="1:17" x14ac:dyDescent="0.25">
      <c r="A711" t="s">
        <v>2459</v>
      </c>
      <c r="B711" t="s">
        <v>2170</v>
      </c>
      <c r="C711" t="s">
        <v>2171</v>
      </c>
      <c r="D711" t="s">
        <v>2460</v>
      </c>
      <c r="E711" t="s">
        <v>21</v>
      </c>
      <c r="F711" t="s">
        <v>62</v>
      </c>
      <c r="G711">
        <v>63101</v>
      </c>
      <c r="H711">
        <v>296</v>
      </c>
      <c r="I711">
        <v>75</v>
      </c>
      <c r="J711" s="4">
        <f>MAX(Inventory[[#This Row],[Qty On Hand]]-Inventory[[#This Row],[Qty Allocated]],0)</f>
        <v>221</v>
      </c>
      <c r="K711">
        <v>295</v>
      </c>
      <c r="L711" t="s">
        <v>2483</v>
      </c>
      <c r="M711" t="s">
        <v>2484</v>
      </c>
      <c r="N711" t="s">
        <v>202</v>
      </c>
      <c r="O711" t="s">
        <v>26</v>
      </c>
      <c r="P711" t="s">
        <v>2463</v>
      </c>
      <c r="Q711" t="s">
        <v>28</v>
      </c>
    </row>
    <row r="712" spans="1:17" x14ac:dyDescent="0.25">
      <c r="A712" t="s">
        <v>2459</v>
      </c>
      <c r="B712" t="s">
        <v>2170</v>
      </c>
      <c r="C712" t="s">
        <v>2171</v>
      </c>
      <c r="D712" t="s">
        <v>2460</v>
      </c>
      <c r="E712" t="s">
        <v>21</v>
      </c>
      <c r="F712" t="s">
        <v>62</v>
      </c>
      <c r="G712">
        <v>63101</v>
      </c>
      <c r="H712">
        <v>766</v>
      </c>
      <c r="I712">
        <v>81</v>
      </c>
      <c r="J712" s="4">
        <f>MAX(Inventory[[#This Row],[Qty On Hand]]-Inventory[[#This Row],[Qty Allocated]],0)</f>
        <v>685</v>
      </c>
      <c r="K712">
        <v>269</v>
      </c>
      <c r="L712" t="s">
        <v>2485</v>
      </c>
      <c r="M712" t="s">
        <v>2486</v>
      </c>
      <c r="N712" t="s">
        <v>1818</v>
      </c>
      <c r="O712" t="s">
        <v>26</v>
      </c>
      <c r="P712" t="s">
        <v>1089</v>
      </c>
      <c r="Q712" t="s">
        <v>40</v>
      </c>
    </row>
    <row r="713" spans="1:17" x14ac:dyDescent="0.25">
      <c r="A713" t="s">
        <v>2459</v>
      </c>
      <c r="B713" t="s">
        <v>2170</v>
      </c>
      <c r="C713" t="s">
        <v>2171</v>
      </c>
      <c r="D713" t="s">
        <v>2460</v>
      </c>
      <c r="E713" t="s">
        <v>21</v>
      </c>
      <c r="F713" t="s">
        <v>62</v>
      </c>
      <c r="G713">
        <v>63101</v>
      </c>
      <c r="H713">
        <v>695</v>
      </c>
      <c r="I713">
        <v>60</v>
      </c>
      <c r="J713" s="4">
        <f>MAX(Inventory[[#This Row],[Qty On Hand]]-Inventory[[#This Row],[Qty Allocated]],0)</f>
        <v>635</v>
      </c>
      <c r="K713">
        <v>274</v>
      </c>
      <c r="L713" t="s">
        <v>2202</v>
      </c>
      <c r="M713" t="s">
        <v>2487</v>
      </c>
      <c r="N713" t="s">
        <v>866</v>
      </c>
      <c r="O713" t="s">
        <v>26</v>
      </c>
      <c r="P713" t="s">
        <v>2488</v>
      </c>
      <c r="Q713" t="s">
        <v>40</v>
      </c>
    </row>
    <row r="714" spans="1:17" x14ac:dyDescent="0.25">
      <c r="A714" t="s">
        <v>2459</v>
      </c>
      <c r="B714" t="s">
        <v>2170</v>
      </c>
      <c r="C714" t="s">
        <v>2171</v>
      </c>
      <c r="D714" t="s">
        <v>2460</v>
      </c>
      <c r="E714" t="s">
        <v>21</v>
      </c>
      <c r="F714" t="s">
        <v>62</v>
      </c>
      <c r="G714">
        <v>63101</v>
      </c>
      <c r="H714">
        <v>317</v>
      </c>
      <c r="I714">
        <v>76</v>
      </c>
      <c r="J714" s="4">
        <f>MAX(Inventory[[#This Row],[Qty On Hand]]-Inventory[[#This Row],[Qty Allocated]],0)</f>
        <v>241</v>
      </c>
      <c r="K714">
        <v>274</v>
      </c>
      <c r="L714" t="s">
        <v>2489</v>
      </c>
      <c r="M714" t="s">
        <v>2490</v>
      </c>
      <c r="N714" t="s">
        <v>1179</v>
      </c>
      <c r="O714" t="s">
        <v>26</v>
      </c>
      <c r="P714" t="s">
        <v>2491</v>
      </c>
      <c r="Q714" t="s">
        <v>34</v>
      </c>
    </row>
    <row r="715" spans="1:17" x14ac:dyDescent="0.25">
      <c r="A715" t="s">
        <v>2459</v>
      </c>
      <c r="B715" t="s">
        <v>2170</v>
      </c>
      <c r="C715" t="s">
        <v>2171</v>
      </c>
      <c r="D715" t="s">
        <v>2460</v>
      </c>
      <c r="E715" t="s">
        <v>21</v>
      </c>
      <c r="F715" t="s">
        <v>62</v>
      </c>
      <c r="G715">
        <v>63101</v>
      </c>
      <c r="H715">
        <v>800</v>
      </c>
      <c r="I715">
        <v>95</v>
      </c>
      <c r="J715" s="4">
        <f>MAX(Inventory[[#This Row],[Qty On Hand]]-Inventory[[#This Row],[Qty Allocated]],0)</f>
        <v>705</v>
      </c>
      <c r="K715">
        <v>383</v>
      </c>
      <c r="L715" t="s">
        <v>2225</v>
      </c>
      <c r="M715" t="s">
        <v>2492</v>
      </c>
      <c r="N715" t="s">
        <v>2493</v>
      </c>
      <c r="O715" t="s">
        <v>26</v>
      </c>
      <c r="P715" t="s">
        <v>2494</v>
      </c>
      <c r="Q715" t="s">
        <v>92</v>
      </c>
    </row>
    <row r="716" spans="1:17" x14ac:dyDescent="0.25">
      <c r="A716" t="s">
        <v>2459</v>
      </c>
      <c r="B716" t="s">
        <v>2170</v>
      </c>
      <c r="C716" t="s">
        <v>2171</v>
      </c>
      <c r="D716" t="s">
        <v>2460</v>
      </c>
      <c r="E716" t="s">
        <v>21</v>
      </c>
      <c r="F716" t="s">
        <v>83</v>
      </c>
      <c r="G716">
        <v>28202</v>
      </c>
      <c r="H716">
        <v>905</v>
      </c>
      <c r="I716">
        <v>58</v>
      </c>
      <c r="J716" s="4">
        <f>MAX(Inventory[[#This Row],[Qty On Hand]]-Inventory[[#This Row],[Qty Allocated]],0)</f>
        <v>847</v>
      </c>
      <c r="K716">
        <v>396</v>
      </c>
      <c r="L716" t="s">
        <v>2495</v>
      </c>
      <c r="M716" t="s">
        <v>2496</v>
      </c>
      <c r="N716" t="s">
        <v>1362</v>
      </c>
      <c r="O716" t="s">
        <v>26</v>
      </c>
      <c r="P716" t="s">
        <v>1869</v>
      </c>
      <c r="Q716" t="s">
        <v>92</v>
      </c>
    </row>
    <row r="717" spans="1:17" x14ac:dyDescent="0.25">
      <c r="A717" t="s">
        <v>2459</v>
      </c>
      <c r="B717" t="s">
        <v>2170</v>
      </c>
      <c r="C717" t="s">
        <v>2171</v>
      </c>
      <c r="D717" t="s">
        <v>2460</v>
      </c>
      <c r="E717" t="s">
        <v>21</v>
      </c>
      <c r="F717" t="s">
        <v>83</v>
      </c>
      <c r="G717">
        <v>28202</v>
      </c>
      <c r="H717">
        <v>916</v>
      </c>
      <c r="I717">
        <v>31</v>
      </c>
      <c r="J717" s="4">
        <f>MAX(Inventory[[#This Row],[Qty On Hand]]-Inventory[[#This Row],[Qty Allocated]],0)</f>
        <v>885</v>
      </c>
      <c r="K717">
        <v>359</v>
      </c>
      <c r="L717" t="s">
        <v>2497</v>
      </c>
      <c r="M717" t="s">
        <v>2498</v>
      </c>
      <c r="N717" t="s">
        <v>1276</v>
      </c>
      <c r="O717" t="s">
        <v>26</v>
      </c>
      <c r="P717" t="s">
        <v>2499</v>
      </c>
      <c r="Q717" t="s">
        <v>92</v>
      </c>
    </row>
    <row r="718" spans="1:17" x14ac:dyDescent="0.25">
      <c r="A718" t="s">
        <v>2459</v>
      </c>
      <c r="B718" t="s">
        <v>2170</v>
      </c>
      <c r="C718" t="s">
        <v>2171</v>
      </c>
      <c r="D718" t="s">
        <v>2460</v>
      </c>
      <c r="E718" t="s">
        <v>21</v>
      </c>
      <c r="F718" t="s">
        <v>83</v>
      </c>
      <c r="G718">
        <v>28202</v>
      </c>
      <c r="H718">
        <v>520</v>
      </c>
      <c r="I718">
        <v>93</v>
      </c>
      <c r="J718" s="4">
        <f>MAX(Inventory[[#This Row],[Qty On Hand]]-Inventory[[#This Row],[Qty Allocated]],0)</f>
        <v>427</v>
      </c>
      <c r="K718">
        <v>303</v>
      </c>
      <c r="L718" t="s">
        <v>2500</v>
      </c>
      <c r="M718" t="s">
        <v>2501</v>
      </c>
      <c r="N718" t="s">
        <v>1891</v>
      </c>
      <c r="O718" t="s">
        <v>48</v>
      </c>
      <c r="P718" t="s">
        <v>1576</v>
      </c>
      <c r="Q718" t="s">
        <v>28</v>
      </c>
    </row>
    <row r="719" spans="1:17" x14ac:dyDescent="0.25">
      <c r="A719" t="s">
        <v>2459</v>
      </c>
      <c r="B719" t="s">
        <v>2170</v>
      </c>
      <c r="C719" t="s">
        <v>2171</v>
      </c>
      <c r="D719" t="s">
        <v>2460</v>
      </c>
      <c r="E719" t="s">
        <v>21</v>
      </c>
      <c r="F719" t="s">
        <v>83</v>
      </c>
      <c r="G719">
        <v>28202</v>
      </c>
      <c r="H719">
        <v>471</v>
      </c>
      <c r="I719">
        <v>20</v>
      </c>
      <c r="J719" s="4">
        <f>MAX(Inventory[[#This Row],[Qty On Hand]]-Inventory[[#This Row],[Qty Allocated]],0)</f>
        <v>451</v>
      </c>
      <c r="K719">
        <v>348</v>
      </c>
      <c r="L719" t="s">
        <v>2502</v>
      </c>
      <c r="M719" t="s">
        <v>2503</v>
      </c>
      <c r="N719" t="s">
        <v>2345</v>
      </c>
      <c r="O719" t="s">
        <v>48</v>
      </c>
      <c r="P719" t="s">
        <v>1615</v>
      </c>
      <c r="Q719" t="s">
        <v>34</v>
      </c>
    </row>
    <row r="720" spans="1:17" x14ac:dyDescent="0.25">
      <c r="A720" t="s">
        <v>2459</v>
      </c>
      <c r="B720" t="s">
        <v>2170</v>
      </c>
      <c r="C720" t="s">
        <v>2171</v>
      </c>
      <c r="D720" t="s">
        <v>2460</v>
      </c>
      <c r="E720" t="s">
        <v>21</v>
      </c>
      <c r="F720" t="s">
        <v>83</v>
      </c>
      <c r="G720">
        <v>28202</v>
      </c>
      <c r="H720">
        <v>615</v>
      </c>
      <c r="I720">
        <v>4</v>
      </c>
      <c r="J720" s="4">
        <f>MAX(Inventory[[#This Row],[Qty On Hand]]-Inventory[[#This Row],[Qty Allocated]],0)</f>
        <v>611</v>
      </c>
      <c r="K720">
        <v>210</v>
      </c>
      <c r="L720" t="s">
        <v>2504</v>
      </c>
      <c r="M720" t="s">
        <v>2505</v>
      </c>
      <c r="N720" t="s">
        <v>2506</v>
      </c>
      <c r="O720" t="s">
        <v>48</v>
      </c>
      <c r="P720" t="s">
        <v>2233</v>
      </c>
      <c r="Q720" t="s">
        <v>92</v>
      </c>
    </row>
    <row r="721" spans="1:17" x14ac:dyDescent="0.25">
      <c r="A721" t="s">
        <v>2459</v>
      </c>
      <c r="B721" t="s">
        <v>2170</v>
      </c>
      <c r="C721" t="s">
        <v>2171</v>
      </c>
      <c r="D721" t="s">
        <v>2460</v>
      </c>
      <c r="E721" t="s">
        <v>21</v>
      </c>
      <c r="F721" t="s">
        <v>83</v>
      </c>
      <c r="G721">
        <v>28202</v>
      </c>
      <c r="H721">
        <v>301</v>
      </c>
      <c r="I721">
        <v>86</v>
      </c>
      <c r="J721" s="4">
        <f>MAX(Inventory[[#This Row],[Qty On Hand]]-Inventory[[#This Row],[Qty Allocated]],0)</f>
        <v>215</v>
      </c>
      <c r="K721">
        <v>350</v>
      </c>
      <c r="L721" t="s">
        <v>2507</v>
      </c>
      <c r="M721" t="s">
        <v>2508</v>
      </c>
      <c r="N721" t="s">
        <v>2318</v>
      </c>
      <c r="O721" t="s">
        <v>26</v>
      </c>
      <c r="P721" t="s">
        <v>2509</v>
      </c>
      <c r="Q721" t="s">
        <v>34</v>
      </c>
    </row>
    <row r="722" spans="1:17" x14ac:dyDescent="0.25">
      <c r="A722" t="s">
        <v>2510</v>
      </c>
      <c r="B722" t="s">
        <v>2170</v>
      </c>
      <c r="C722" t="s">
        <v>2171</v>
      </c>
      <c r="D722" t="s">
        <v>2460</v>
      </c>
      <c r="E722" t="s">
        <v>122</v>
      </c>
      <c r="F722" t="s">
        <v>35</v>
      </c>
      <c r="G722">
        <v>75201</v>
      </c>
      <c r="H722">
        <v>593</v>
      </c>
      <c r="I722">
        <v>48</v>
      </c>
      <c r="J722" s="4">
        <f>MAX(Inventory[[#This Row],[Qty On Hand]]-Inventory[[#This Row],[Qty Allocated]],0)</f>
        <v>545</v>
      </c>
      <c r="K722">
        <v>399</v>
      </c>
      <c r="L722" t="s">
        <v>2511</v>
      </c>
      <c r="M722" t="s">
        <v>2512</v>
      </c>
      <c r="N722" t="s">
        <v>741</v>
      </c>
      <c r="O722" t="s">
        <v>26</v>
      </c>
      <c r="P722" t="s">
        <v>576</v>
      </c>
      <c r="Q722" t="s">
        <v>40</v>
      </c>
    </row>
    <row r="723" spans="1:17" x14ac:dyDescent="0.25">
      <c r="A723" t="s">
        <v>2510</v>
      </c>
      <c r="B723" t="s">
        <v>2170</v>
      </c>
      <c r="C723" t="s">
        <v>2171</v>
      </c>
      <c r="D723" t="s">
        <v>2460</v>
      </c>
      <c r="E723" t="s">
        <v>122</v>
      </c>
      <c r="F723" t="s">
        <v>35</v>
      </c>
      <c r="G723">
        <v>75201</v>
      </c>
      <c r="H723">
        <v>940</v>
      </c>
      <c r="I723">
        <v>90</v>
      </c>
      <c r="J723" s="4">
        <f>MAX(Inventory[[#This Row],[Qty On Hand]]-Inventory[[#This Row],[Qty Allocated]],0)</f>
        <v>850</v>
      </c>
      <c r="K723">
        <v>165</v>
      </c>
      <c r="L723" t="s">
        <v>2513</v>
      </c>
      <c r="M723" t="s">
        <v>2514</v>
      </c>
      <c r="N723" t="s">
        <v>1882</v>
      </c>
      <c r="O723" t="s">
        <v>48</v>
      </c>
      <c r="P723" t="s">
        <v>2515</v>
      </c>
      <c r="Q723" t="s">
        <v>40</v>
      </c>
    </row>
    <row r="724" spans="1:17" x14ac:dyDescent="0.25">
      <c r="A724" t="s">
        <v>2510</v>
      </c>
      <c r="B724" t="s">
        <v>2170</v>
      </c>
      <c r="C724" t="s">
        <v>2171</v>
      </c>
      <c r="D724" t="s">
        <v>2460</v>
      </c>
      <c r="E724" t="s">
        <v>122</v>
      </c>
      <c r="F724" t="s">
        <v>35</v>
      </c>
      <c r="G724">
        <v>75201</v>
      </c>
      <c r="H724">
        <v>532</v>
      </c>
      <c r="I724">
        <v>37</v>
      </c>
      <c r="J724" s="4">
        <f>MAX(Inventory[[#This Row],[Qty On Hand]]-Inventory[[#This Row],[Qty Allocated]],0)</f>
        <v>495</v>
      </c>
      <c r="K724">
        <v>352</v>
      </c>
      <c r="L724" t="s">
        <v>2516</v>
      </c>
      <c r="M724" t="s">
        <v>2517</v>
      </c>
      <c r="N724" t="s">
        <v>1160</v>
      </c>
      <c r="O724" t="s">
        <v>26</v>
      </c>
      <c r="P724" t="s">
        <v>917</v>
      </c>
      <c r="Q724" t="s">
        <v>92</v>
      </c>
    </row>
    <row r="725" spans="1:17" x14ac:dyDescent="0.25">
      <c r="A725" t="s">
        <v>2510</v>
      </c>
      <c r="B725" t="s">
        <v>2170</v>
      </c>
      <c r="C725" t="s">
        <v>2171</v>
      </c>
      <c r="D725" t="s">
        <v>2460</v>
      </c>
      <c r="E725" t="s">
        <v>122</v>
      </c>
      <c r="F725" t="s">
        <v>35</v>
      </c>
      <c r="G725">
        <v>75201</v>
      </c>
      <c r="H725">
        <v>284</v>
      </c>
      <c r="I725">
        <v>67</v>
      </c>
      <c r="J725" s="4">
        <f>MAX(Inventory[[#This Row],[Qty On Hand]]-Inventory[[#This Row],[Qty Allocated]],0)</f>
        <v>217</v>
      </c>
      <c r="K725">
        <v>172</v>
      </c>
      <c r="L725" t="s">
        <v>2518</v>
      </c>
      <c r="M725" t="s">
        <v>2519</v>
      </c>
      <c r="N725" t="s">
        <v>1011</v>
      </c>
      <c r="O725" t="s">
        <v>48</v>
      </c>
      <c r="P725" t="s">
        <v>2520</v>
      </c>
      <c r="Q725" t="s">
        <v>92</v>
      </c>
    </row>
    <row r="726" spans="1:17" x14ac:dyDescent="0.25">
      <c r="A726" t="s">
        <v>2510</v>
      </c>
      <c r="B726" t="s">
        <v>2170</v>
      </c>
      <c r="C726" t="s">
        <v>2171</v>
      </c>
      <c r="D726" t="s">
        <v>2460</v>
      </c>
      <c r="E726" t="s">
        <v>122</v>
      </c>
      <c r="F726" t="s">
        <v>35</v>
      </c>
      <c r="G726">
        <v>75201</v>
      </c>
      <c r="H726">
        <v>369</v>
      </c>
      <c r="I726">
        <v>63</v>
      </c>
      <c r="J726" s="4">
        <f>MAX(Inventory[[#This Row],[Qty On Hand]]-Inventory[[#This Row],[Qty Allocated]],0)</f>
        <v>306</v>
      </c>
      <c r="K726">
        <v>335</v>
      </c>
      <c r="L726" t="s">
        <v>2521</v>
      </c>
      <c r="M726" t="s">
        <v>2522</v>
      </c>
      <c r="N726" t="s">
        <v>2523</v>
      </c>
      <c r="O726" t="s">
        <v>26</v>
      </c>
      <c r="P726" t="s">
        <v>2524</v>
      </c>
      <c r="Q726" t="s">
        <v>34</v>
      </c>
    </row>
    <row r="727" spans="1:17" x14ac:dyDescent="0.25">
      <c r="A727" t="s">
        <v>2510</v>
      </c>
      <c r="B727" t="s">
        <v>2170</v>
      </c>
      <c r="C727" t="s">
        <v>2171</v>
      </c>
      <c r="D727" t="s">
        <v>2460</v>
      </c>
      <c r="E727" t="s">
        <v>122</v>
      </c>
      <c r="F727" t="s">
        <v>62</v>
      </c>
      <c r="G727">
        <v>63101</v>
      </c>
      <c r="H727">
        <v>897</v>
      </c>
      <c r="I727">
        <v>65</v>
      </c>
      <c r="J727" s="4">
        <f>MAX(Inventory[[#This Row],[Qty On Hand]]-Inventory[[#This Row],[Qty Allocated]],0)</f>
        <v>832</v>
      </c>
      <c r="K727">
        <v>344</v>
      </c>
      <c r="L727" t="s">
        <v>2525</v>
      </c>
      <c r="M727" t="s">
        <v>2526</v>
      </c>
      <c r="N727" t="s">
        <v>627</v>
      </c>
      <c r="O727" t="s">
        <v>48</v>
      </c>
      <c r="P727" t="s">
        <v>2383</v>
      </c>
      <c r="Q727" t="s">
        <v>34</v>
      </c>
    </row>
    <row r="728" spans="1:17" x14ac:dyDescent="0.25">
      <c r="A728" t="s">
        <v>2510</v>
      </c>
      <c r="B728" t="s">
        <v>2170</v>
      </c>
      <c r="C728" t="s">
        <v>2171</v>
      </c>
      <c r="D728" t="s">
        <v>2460</v>
      </c>
      <c r="E728" t="s">
        <v>122</v>
      </c>
      <c r="F728" t="s">
        <v>62</v>
      </c>
      <c r="G728">
        <v>63101</v>
      </c>
      <c r="H728">
        <v>321</v>
      </c>
      <c r="I728">
        <v>68</v>
      </c>
      <c r="J728" s="4">
        <f>MAX(Inventory[[#This Row],[Qty On Hand]]-Inventory[[#This Row],[Qty Allocated]],0)</f>
        <v>253</v>
      </c>
      <c r="K728">
        <v>117</v>
      </c>
      <c r="L728" t="s">
        <v>2527</v>
      </c>
      <c r="M728" t="s">
        <v>2528</v>
      </c>
      <c r="N728" t="s">
        <v>2529</v>
      </c>
      <c r="O728" t="s">
        <v>26</v>
      </c>
      <c r="P728" t="s">
        <v>2530</v>
      </c>
      <c r="Q728" t="s">
        <v>92</v>
      </c>
    </row>
    <row r="729" spans="1:17" x14ac:dyDescent="0.25">
      <c r="A729" t="s">
        <v>2510</v>
      </c>
      <c r="B729" t="s">
        <v>2170</v>
      </c>
      <c r="C729" t="s">
        <v>2171</v>
      </c>
      <c r="D729" t="s">
        <v>2460</v>
      </c>
      <c r="E729" t="s">
        <v>122</v>
      </c>
      <c r="F729" t="s">
        <v>62</v>
      </c>
      <c r="G729">
        <v>63101</v>
      </c>
      <c r="H729">
        <v>472</v>
      </c>
      <c r="I729">
        <v>8</v>
      </c>
      <c r="J729" s="4">
        <f>MAX(Inventory[[#This Row],[Qty On Hand]]-Inventory[[#This Row],[Qty Allocated]],0)</f>
        <v>464</v>
      </c>
      <c r="K729">
        <v>101</v>
      </c>
      <c r="L729" t="s">
        <v>2531</v>
      </c>
      <c r="M729" t="s">
        <v>2532</v>
      </c>
      <c r="N729" t="s">
        <v>1114</v>
      </c>
      <c r="O729" t="s">
        <v>26</v>
      </c>
      <c r="P729" t="s">
        <v>1888</v>
      </c>
      <c r="Q729" t="s">
        <v>28</v>
      </c>
    </row>
    <row r="730" spans="1:17" x14ac:dyDescent="0.25">
      <c r="A730" t="s">
        <v>2510</v>
      </c>
      <c r="B730" t="s">
        <v>2170</v>
      </c>
      <c r="C730" t="s">
        <v>2171</v>
      </c>
      <c r="D730" t="s">
        <v>2460</v>
      </c>
      <c r="E730" t="s">
        <v>122</v>
      </c>
      <c r="F730" t="s">
        <v>62</v>
      </c>
      <c r="G730">
        <v>63101</v>
      </c>
      <c r="H730">
        <v>710</v>
      </c>
      <c r="I730">
        <v>56</v>
      </c>
      <c r="J730" s="4">
        <f>MAX(Inventory[[#This Row],[Qty On Hand]]-Inventory[[#This Row],[Qty Allocated]],0)</f>
        <v>654</v>
      </c>
      <c r="K730">
        <v>175</v>
      </c>
      <c r="L730" t="s">
        <v>2533</v>
      </c>
      <c r="M730" t="s">
        <v>2534</v>
      </c>
      <c r="N730" t="s">
        <v>2535</v>
      </c>
      <c r="O730" t="s">
        <v>26</v>
      </c>
      <c r="P730" t="s">
        <v>2536</v>
      </c>
      <c r="Q730" t="s">
        <v>34</v>
      </c>
    </row>
    <row r="731" spans="1:17" x14ac:dyDescent="0.25">
      <c r="A731" t="s">
        <v>2510</v>
      </c>
      <c r="B731" t="s">
        <v>2170</v>
      </c>
      <c r="C731" t="s">
        <v>2171</v>
      </c>
      <c r="D731" t="s">
        <v>2460</v>
      </c>
      <c r="E731" t="s">
        <v>122</v>
      </c>
      <c r="F731" t="s">
        <v>83</v>
      </c>
      <c r="G731">
        <v>28202</v>
      </c>
      <c r="H731">
        <v>362</v>
      </c>
      <c r="I731">
        <v>84</v>
      </c>
      <c r="J731" s="4">
        <f>MAX(Inventory[[#This Row],[Qty On Hand]]-Inventory[[#This Row],[Qty Allocated]],0)</f>
        <v>278</v>
      </c>
      <c r="K731">
        <v>295</v>
      </c>
      <c r="L731" t="s">
        <v>2537</v>
      </c>
      <c r="M731" t="s">
        <v>2538</v>
      </c>
      <c r="N731" t="s">
        <v>952</v>
      </c>
      <c r="O731" t="s">
        <v>26</v>
      </c>
      <c r="P731" t="s">
        <v>2539</v>
      </c>
      <c r="Q731" t="s">
        <v>92</v>
      </c>
    </row>
    <row r="732" spans="1:17" x14ac:dyDescent="0.25">
      <c r="A732" t="s">
        <v>2510</v>
      </c>
      <c r="B732" t="s">
        <v>2170</v>
      </c>
      <c r="C732" t="s">
        <v>2171</v>
      </c>
      <c r="D732" t="s">
        <v>2460</v>
      </c>
      <c r="E732" t="s">
        <v>122</v>
      </c>
      <c r="F732" t="s">
        <v>83</v>
      </c>
      <c r="G732">
        <v>28202</v>
      </c>
      <c r="H732">
        <v>306</v>
      </c>
      <c r="I732">
        <v>30</v>
      </c>
      <c r="J732" s="4">
        <f>MAX(Inventory[[#This Row],[Qty On Hand]]-Inventory[[#This Row],[Qty Allocated]],0)</f>
        <v>276</v>
      </c>
      <c r="K732">
        <v>358</v>
      </c>
      <c r="L732" t="s">
        <v>2540</v>
      </c>
      <c r="M732" t="s">
        <v>2541</v>
      </c>
      <c r="N732" t="s">
        <v>1636</v>
      </c>
      <c r="O732" t="s">
        <v>26</v>
      </c>
      <c r="P732" t="s">
        <v>2542</v>
      </c>
      <c r="Q732" t="s">
        <v>92</v>
      </c>
    </row>
    <row r="733" spans="1:17" x14ac:dyDescent="0.25">
      <c r="A733" t="s">
        <v>2510</v>
      </c>
      <c r="B733" t="s">
        <v>2170</v>
      </c>
      <c r="C733" t="s">
        <v>2171</v>
      </c>
      <c r="D733" t="s">
        <v>2460</v>
      </c>
      <c r="E733" t="s">
        <v>122</v>
      </c>
      <c r="F733" t="s">
        <v>83</v>
      </c>
      <c r="G733">
        <v>28202</v>
      </c>
      <c r="H733">
        <v>762</v>
      </c>
      <c r="I733">
        <v>32</v>
      </c>
      <c r="J733" s="4">
        <f>MAX(Inventory[[#This Row],[Qty On Hand]]-Inventory[[#This Row],[Qty Allocated]],0)</f>
        <v>730</v>
      </c>
      <c r="K733">
        <v>344</v>
      </c>
      <c r="L733" t="s">
        <v>2543</v>
      </c>
      <c r="M733" t="s">
        <v>2544</v>
      </c>
      <c r="N733" t="s">
        <v>2545</v>
      </c>
      <c r="O733" t="s">
        <v>26</v>
      </c>
      <c r="P733" t="s">
        <v>1727</v>
      </c>
      <c r="Q733" t="s">
        <v>28</v>
      </c>
    </row>
    <row r="734" spans="1:17" x14ac:dyDescent="0.25">
      <c r="A734" t="s">
        <v>2510</v>
      </c>
      <c r="B734" t="s">
        <v>2170</v>
      </c>
      <c r="C734" t="s">
        <v>2171</v>
      </c>
      <c r="D734" t="s">
        <v>2460</v>
      </c>
      <c r="E734" t="s">
        <v>122</v>
      </c>
      <c r="F734" t="s">
        <v>83</v>
      </c>
      <c r="G734">
        <v>28202</v>
      </c>
      <c r="H734">
        <v>328</v>
      </c>
      <c r="I734">
        <v>57</v>
      </c>
      <c r="J734" s="4">
        <f>MAX(Inventory[[#This Row],[Qty On Hand]]-Inventory[[#This Row],[Qty Allocated]],0)</f>
        <v>271</v>
      </c>
      <c r="K734">
        <v>316</v>
      </c>
      <c r="L734" t="s">
        <v>2546</v>
      </c>
      <c r="M734" t="s">
        <v>2547</v>
      </c>
      <c r="N734" t="s">
        <v>586</v>
      </c>
      <c r="O734" t="s">
        <v>26</v>
      </c>
      <c r="P734" t="s">
        <v>398</v>
      </c>
      <c r="Q734" t="s">
        <v>92</v>
      </c>
    </row>
    <row r="735" spans="1:17" x14ac:dyDescent="0.25">
      <c r="A735" t="s">
        <v>2510</v>
      </c>
      <c r="B735" t="s">
        <v>2170</v>
      </c>
      <c r="C735" t="s">
        <v>2171</v>
      </c>
      <c r="D735" t="s">
        <v>2460</v>
      </c>
      <c r="E735" t="s">
        <v>122</v>
      </c>
      <c r="F735" t="s">
        <v>83</v>
      </c>
      <c r="G735">
        <v>28202</v>
      </c>
      <c r="H735">
        <v>600</v>
      </c>
      <c r="I735">
        <v>86</v>
      </c>
      <c r="J735" s="4">
        <f>MAX(Inventory[[#This Row],[Qty On Hand]]-Inventory[[#This Row],[Qty Allocated]],0)</f>
        <v>514</v>
      </c>
      <c r="K735">
        <v>161</v>
      </c>
      <c r="L735" t="s">
        <v>2548</v>
      </c>
      <c r="M735" t="s">
        <v>2549</v>
      </c>
      <c r="N735" t="s">
        <v>1568</v>
      </c>
      <c r="O735" t="s">
        <v>26</v>
      </c>
      <c r="P735" t="s">
        <v>1049</v>
      </c>
      <c r="Q735" t="s">
        <v>28</v>
      </c>
    </row>
    <row r="736" spans="1:17" x14ac:dyDescent="0.25">
      <c r="A736" t="s">
        <v>2550</v>
      </c>
      <c r="B736" t="s">
        <v>2170</v>
      </c>
      <c r="C736" t="s">
        <v>2171</v>
      </c>
      <c r="D736" t="s">
        <v>2460</v>
      </c>
      <c r="E736" t="s">
        <v>171</v>
      </c>
      <c r="F736" t="s">
        <v>22</v>
      </c>
      <c r="G736">
        <v>94102</v>
      </c>
      <c r="H736">
        <v>0</v>
      </c>
      <c r="I736">
        <v>0</v>
      </c>
      <c r="J736" s="4">
        <f>MAX(Inventory[[#This Row],[Qty On Hand]]-Inventory[[#This Row],[Qty Allocated]],0)</f>
        <v>0</v>
      </c>
      <c r="K736">
        <v>486</v>
      </c>
      <c r="L736" t="s">
        <v>2551</v>
      </c>
      <c r="M736" t="s">
        <v>2552</v>
      </c>
      <c r="N736" t="s">
        <v>2553</v>
      </c>
      <c r="O736" t="s">
        <v>26</v>
      </c>
      <c r="P736" t="s">
        <v>2554</v>
      </c>
      <c r="Q736" t="s">
        <v>40</v>
      </c>
    </row>
    <row r="737" spans="1:17" x14ac:dyDescent="0.25">
      <c r="A737" t="s">
        <v>2550</v>
      </c>
      <c r="B737" t="s">
        <v>2170</v>
      </c>
      <c r="C737" t="s">
        <v>2171</v>
      </c>
      <c r="D737" t="s">
        <v>2460</v>
      </c>
      <c r="E737" t="s">
        <v>171</v>
      </c>
      <c r="F737" t="s">
        <v>35</v>
      </c>
      <c r="G737">
        <v>75201</v>
      </c>
      <c r="H737">
        <v>758</v>
      </c>
      <c r="I737">
        <v>21</v>
      </c>
      <c r="J737" s="4">
        <f>MAX(Inventory[[#This Row],[Qty On Hand]]-Inventory[[#This Row],[Qty Allocated]],0)</f>
        <v>737</v>
      </c>
      <c r="K737">
        <v>334</v>
      </c>
      <c r="L737" t="s">
        <v>2555</v>
      </c>
      <c r="M737" t="s">
        <v>2556</v>
      </c>
      <c r="N737" t="s">
        <v>2557</v>
      </c>
      <c r="O737" t="s">
        <v>26</v>
      </c>
      <c r="P737" t="s">
        <v>2558</v>
      </c>
      <c r="Q737" t="s">
        <v>92</v>
      </c>
    </row>
    <row r="738" spans="1:17" x14ac:dyDescent="0.25">
      <c r="A738" t="s">
        <v>2550</v>
      </c>
      <c r="B738" t="s">
        <v>2170</v>
      </c>
      <c r="C738" t="s">
        <v>2171</v>
      </c>
      <c r="D738" t="s">
        <v>2460</v>
      </c>
      <c r="E738" t="s">
        <v>171</v>
      </c>
      <c r="F738" t="s">
        <v>35</v>
      </c>
      <c r="G738">
        <v>75201</v>
      </c>
      <c r="H738">
        <v>268</v>
      </c>
      <c r="I738">
        <v>51</v>
      </c>
      <c r="J738" s="4">
        <f>MAX(Inventory[[#This Row],[Qty On Hand]]-Inventory[[#This Row],[Qty Allocated]],0)</f>
        <v>217</v>
      </c>
      <c r="K738">
        <v>262</v>
      </c>
      <c r="L738" t="s">
        <v>2559</v>
      </c>
      <c r="M738" t="s">
        <v>2560</v>
      </c>
      <c r="N738" t="s">
        <v>2561</v>
      </c>
      <c r="O738" t="s">
        <v>48</v>
      </c>
      <c r="P738" t="s">
        <v>2407</v>
      </c>
      <c r="Q738" t="s">
        <v>40</v>
      </c>
    </row>
    <row r="739" spans="1:17" x14ac:dyDescent="0.25">
      <c r="A739" t="s">
        <v>2550</v>
      </c>
      <c r="B739" t="s">
        <v>2170</v>
      </c>
      <c r="C739" t="s">
        <v>2171</v>
      </c>
      <c r="D739" t="s">
        <v>2460</v>
      </c>
      <c r="E739" t="s">
        <v>171</v>
      </c>
      <c r="F739" t="s">
        <v>35</v>
      </c>
      <c r="G739">
        <v>75201</v>
      </c>
      <c r="H739">
        <v>498</v>
      </c>
      <c r="I739">
        <v>91</v>
      </c>
      <c r="J739" s="4">
        <f>MAX(Inventory[[#This Row],[Qty On Hand]]-Inventory[[#This Row],[Qty Allocated]],0)</f>
        <v>407</v>
      </c>
      <c r="K739">
        <v>239</v>
      </c>
      <c r="L739" t="s">
        <v>784</v>
      </c>
      <c r="M739" t="s">
        <v>2562</v>
      </c>
      <c r="N739" t="s">
        <v>883</v>
      </c>
      <c r="O739" t="s">
        <v>26</v>
      </c>
      <c r="P739" t="s">
        <v>1943</v>
      </c>
      <c r="Q739" t="s">
        <v>92</v>
      </c>
    </row>
    <row r="740" spans="1:17" x14ac:dyDescent="0.25">
      <c r="A740" t="s">
        <v>2550</v>
      </c>
      <c r="B740" t="s">
        <v>2170</v>
      </c>
      <c r="C740" t="s">
        <v>2171</v>
      </c>
      <c r="D740" t="s">
        <v>2460</v>
      </c>
      <c r="E740" t="s">
        <v>171</v>
      </c>
      <c r="F740" t="s">
        <v>35</v>
      </c>
      <c r="G740">
        <v>75201</v>
      </c>
      <c r="H740">
        <v>839</v>
      </c>
      <c r="I740">
        <v>79</v>
      </c>
      <c r="J740" s="4">
        <f>MAX(Inventory[[#This Row],[Qty On Hand]]-Inventory[[#This Row],[Qty Allocated]],0)</f>
        <v>760</v>
      </c>
      <c r="K740">
        <v>323</v>
      </c>
      <c r="L740" t="s">
        <v>2563</v>
      </c>
      <c r="M740" t="s">
        <v>2564</v>
      </c>
      <c r="N740" t="s">
        <v>437</v>
      </c>
      <c r="O740" t="s">
        <v>26</v>
      </c>
      <c r="P740" t="s">
        <v>1619</v>
      </c>
      <c r="Q740" t="s">
        <v>40</v>
      </c>
    </row>
    <row r="741" spans="1:17" x14ac:dyDescent="0.25">
      <c r="A741" t="s">
        <v>2550</v>
      </c>
      <c r="B741" t="s">
        <v>2170</v>
      </c>
      <c r="C741" t="s">
        <v>2171</v>
      </c>
      <c r="D741" t="s">
        <v>2460</v>
      </c>
      <c r="E741" t="s">
        <v>171</v>
      </c>
      <c r="F741" t="s">
        <v>35</v>
      </c>
      <c r="G741">
        <v>75201</v>
      </c>
      <c r="H741">
        <v>814</v>
      </c>
      <c r="I741">
        <v>79</v>
      </c>
      <c r="J741" s="4">
        <f>MAX(Inventory[[#This Row],[Qty On Hand]]-Inventory[[#This Row],[Qty Allocated]],0)</f>
        <v>735</v>
      </c>
      <c r="K741">
        <v>332</v>
      </c>
      <c r="L741" t="s">
        <v>2565</v>
      </c>
      <c r="M741" t="s">
        <v>2566</v>
      </c>
      <c r="N741" t="s">
        <v>1098</v>
      </c>
      <c r="O741" t="s">
        <v>48</v>
      </c>
      <c r="P741" t="s">
        <v>2567</v>
      </c>
      <c r="Q741" t="s">
        <v>92</v>
      </c>
    </row>
    <row r="742" spans="1:17" x14ac:dyDescent="0.25">
      <c r="A742" t="s">
        <v>2550</v>
      </c>
      <c r="B742" t="s">
        <v>2170</v>
      </c>
      <c r="C742" t="s">
        <v>2171</v>
      </c>
      <c r="D742" t="s">
        <v>2460</v>
      </c>
      <c r="E742" t="s">
        <v>171</v>
      </c>
      <c r="F742" t="s">
        <v>62</v>
      </c>
      <c r="G742">
        <v>63101</v>
      </c>
      <c r="H742">
        <v>568</v>
      </c>
      <c r="I742">
        <v>56</v>
      </c>
      <c r="J742" s="4">
        <f>MAX(Inventory[[#This Row],[Qty On Hand]]-Inventory[[#This Row],[Qty Allocated]],0)</f>
        <v>512</v>
      </c>
      <c r="K742">
        <v>175</v>
      </c>
      <c r="L742" t="s">
        <v>2568</v>
      </c>
      <c r="M742" t="s">
        <v>2569</v>
      </c>
      <c r="N742" t="s">
        <v>2570</v>
      </c>
      <c r="O742" t="s">
        <v>26</v>
      </c>
      <c r="P742" t="s">
        <v>651</v>
      </c>
      <c r="Q742" t="s">
        <v>40</v>
      </c>
    </row>
    <row r="743" spans="1:17" x14ac:dyDescent="0.25">
      <c r="A743" t="s">
        <v>2550</v>
      </c>
      <c r="B743" t="s">
        <v>2170</v>
      </c>
      <c r="C743" t="s">
        <v>2171</v>
      </c>
      <c r="D743" t="s">
        <v>2460</v>
      </c>
      <c r="E743" t="s">
        <v>171</v>
      </c>
      <c r="F743" t="s">
        <v>62</v>
      </c>
      <c r="G743">
        <v>63101</v>
      </c>
      <c r="H743">
        <v>606</v>
      </c>
      <c r="I743">
        <v>48</v>
      </c>
      <c r="J743" s="4">
        <f>MAX(Inventory[[#This Row],[Qty On Hand]]-Inventory[[#This Row],[Qty Allocated]],0)</f>
        <v>558</v>
      </c>
      <c r="K743">
        <v>188</v>
      </c>
      <c r="L743" t="s">
        <v>2571</v>
      </c>
      <c r="M743" t="s">
        <v>2572</v>
      </c>
      <c r="N743" t="s">
        <v>198</v>
      </c>
      <c r="O743" t="s">
        <v>26</v>
      </c>
      <c r="P743" t="s">
        <v>1143</v>
      </c>
      <c r="Q743" t="s">
        <v>92</v>
      </c>
    </row>
    <row r="744" spans="1:17" x14ac:dyDescent="0.25">
      <c r="A744" t="s">
        <v>2550</v>
      </c>
      <c r="B744" t="s">
        <v>2170</v>
      </c>
      <c r="C744" t="s">
        <v>2171</v>
      </c>
      <c r="D744" t="s">
        <v>2460</v>
      </c>
      <c r="E744" t="s">
        <v>171</v>
      </c>
      <c r="F744" t="s">
        <v>62</v>
      </c>
      <c r="G744">
        <v>63101</v>
      </c>
      <c r="H744">
        <v>284</v>
      </c>
      <c r="I744">
        <v>68</v>
      </c>
      <c r="J744" s="4">
        <f>MAX(Inventory[[#This Row],[Qty On Hand]]-Inventory[[#This Row],[Qty Allocated]],0)</f>
        <v>216</v>
      </c>
      <c r="K744">
        <v>150</v>
      </c>
      <c r="L744" t="s">
        <v>2573</v>
      </c>
      <c r="M744" t="s">
        <v>2574</v>
      </c>
      <c r="N744" t="s">
        <v>2575</v>
      </c>
      <c r="O744" t="s">
        <v>26</v>
      </c>
      <c r="P744" t="s">
        <v>2576</v>
      </c>
      <c r="Q744" t="s">
        <v>34</v>
      </c>
    </row>
    <row r="745" spans="1:17" x14ac:dyDescent="0.25">
      <c r="A745" t="s">
        <v>2550</v>
      </c>
      <c r="B745" t="s">
        <v>2170</v>
      </c>
      <c r="C745" t="s">
        <v>2171</v>
      </c>
      <c r="D745" t="s">
        <v>2460</v>
      </c>
      <c r="E745" t="s">
        <v>171</v>
      </c>
      <c r="F745" t="s">
        <v>62</v>
      </c>
      <c r="G745">
        <v>63101</v>
      </c>
      <c r="H745">
        <v>734</v>
      </c>
      <c r="I745">
        <v>48</v>
      </c>
      <c r="J745" s="4">
        <f>MAX(Inventory[[#This Row],[Qty On Hand]]-Inventory[[#This Row],[Qty Allocated]],0)</f>
        <v>686</v>
      </c>
      <c r="K745">
        <v>366</v>
      </c>
      <c r="L745" t="s">
        <v>2577</v>
      </c>
      <c r="M745" t="s">
        <v>2578</v>
      </c>
      <c r="N745" t="s">
        <v>1985</v>
      </c>
      <c r="O745" t="s">
        <v>26</v>
      </c>
      <c r="P745" t="s">
        <v>2395</v>
      </c>
      <c r="Q745" t="s">
        <v>92</v>
      </c>
    </row>
    <row r="746" spans="1:17" x14ac:dyDescent="0.25">
      <c r="A746" t="s">
        <v>2550</v>
      </c>
      <c r="B746" t="s">
        <v>2170</v>
      </c>
      <c r="C746" t="s">
        <v>2171</v>
      </c>
      <c r="D746" t="s">
        <v>2460</v>
      </c>
      <c r="E746" t="s">
        <v>171</v>
      </c>
      <c r="F746" t="s">
        <v>83</v>
      </c>
      <c r="G746">
        <v>28202</v>
      </c>
      <c r="H746">
        <v>453</v>
      </c>
      <c r="I746">
        <v>38</v>
      </c>
      <c r="J746" s="4">
        <f>MAX(Inventory[[#This Row],[Qty On Hand]]-Inventory[[#This Row],[Qty Allocated]],0)</f>
        <v>415</v>
      </c>
      <c r="K746">
        <v>326</v>
      </c>
      <c r="L746" t="s">
        <v>2579</v>
      </c>
      <c r="M746" t="s">
        <v>2580</v>
      </c>
      <c r="N746" t="s">
        <v>2581</v>
      </c>
      <c r="O746" t="s">
        <v>26</v>
      </c>
      <c r="P746" t="s">
        <v>1085</v>
      </c>
      <c r="Q746" t="s">
        <v>92</v>
      </c>
    </row>
    <row r="747" spans="1:17" x14ac:dyDescent="0.25">
      <c r="A747" t="s">
        <v>2550</v>
      </c>
      <c r="B747" t="s">
        <v>2170</v>
      </c>
      <c r="C747" t="s">
        <v>2171</v>
      </c>
      <c r="D747" t="s">
        <v>2460</v>
      </c>
      <c r="E747" t="s">
        <v>171</v>
      </c>
      <c r="F747" t="s">
        <v>83</v>
      </c>
      <c r="G747">
        <v>28202</v>
      </c>
      <c r="H747">
        <v>789</v>
      </c>
      <c r="I747">
        <v>18</v>
      </c>
      <c r="J747" s="4">
        <f>MAX(Inventory[[#This Row],[Qty On Hand]]-Inventory[[#This Row],[Qty Allocated]],0)</f>
        <v>771</v>
      </c>
      <c r="K747">
        <v>178</v>
      </c>
      <c r="L747" t="s">
        <v>2582</v>
      </c>
      <c r="M747" t="s">
        <v>2583</v>
      </c>
      <c r="N747" t="s">
        <v>1963</v>
      </c>
      <c r="O747" t="s">
        <v>48</v>
      </c>
      <c r="P747" t="s">
        <v>2584</v>
      </c>
      <c r="Q747" t="s">
        <v>92</v>
      </c>
    </row>
    <row r="748" spans="1:17" x14ac:dyDescent="0.25">
      <c r="A748" t="s">
        <v>2550</v>
      </c>
      <c r="B748" t="s">
        <v>2170</v>
      </c>
      <c r="C748" t="s">
        <v>2171</v>
      </c>
      <c r="D748" t="s">
        <v>2460</v>
      </c>
      <c r="E748" t="s">
        <v>171</v>
      </c>
      <c r="F748" t="s">
        <v>83</v>
      </c>
      <c r="G748">
        <v>28202</v>
      </c>
      <c r="H748">
        <v>296</v>
      </c>
      <c r="I748">
        <v>33</v>
      </c>
      <c r="J748" s="4">
        <f>MAX(Inventory[[#This Row],[Qty On Hand]]-Inventory[[#This Row],[Qty Allocated]],0)</f>
        <v>263</v>
      </c>
      <c r="K748">
        <v>278</v>
      </c>
      <c r="L748" t="s">
        <v>2585</v>
      </c>
      <c r="M748" t="s">
        <v>2586</v>
      </c>
      <c r="N748" t="s">
        <v>2587</v>
      </c>
      <c r="O748" t="s">
        <v>48</v>
      </c>
      <c r="P748" t="s">
        <v>340</v>
      </c>
      <c r="Q748" t="s">
        <v>92</v>
      </c>
    </row>
    <row r="749" spans="1:17" x14ac:dyDescent="0.25">
      <c r="A749" t="s">
        <v>2588</v>
      </c>
      <c r="B749" t="s">
        <v>2170</v>
      </c>
      <c r="C749" t="s">
        <v>2171</v>
      </c>
      <c r="D749" t="s">
        <v>2589</v>
      </c>
      <c r="E749" t="s">
        <v>21</v>
      </c>
      <c r="F749" t="s">
        <v>22</v>
      </c>
      <c r="G749">
        <v>94102</v>
      </c>
      <c r="H749">
        <v>6</v>
      </c>
      <c r="I749">
        <v>1</v>
      </c>
      <c r="J749" s="4">
        <f>MAX(Inventory[[#This Row],[Qty On Hand]]-Inventory[[#This Row],[Qty Allocated]],0)</f>
        <v>5</v>
      </c>
      <c r="K749">
        <v>376</v>
      </c>
      <c r="L749" t="s">
        <v>2590</v>
      </c>
      <c r="M749" t="s">
        <v>2591</v>
      </c>
      <c r="N749" t="s">
        <v>1146</v>
      </c>
      <c r="O749" t="s">
        <v>26</v>
      </c>
      <c r="P749" t="s">
        <v>583</v>
      </c>
      <c r="Q749" t="s">
        <v>28</v>
      </c>
    </row>
    <row r="750" spans="1:17" x14ac:dyDescent="0.25">
      <c r="A750" t="s">
        <v>2588</v>
      </c>
      <c r="B750" t="s">
        <v>2170</v>
      </c>
      <c r="C750" t="s">
        <v>2171</v>
      </c>
      <c r="D750" t="s">
        <v>2589</v>
      </c>
      <c r="E750" t="s">
        <v>21</v>
      </c>
      <c r="F750" t="s">
        <v>29</v>
      </c>
      <c r="G750">
        <v>98072</v>
      </c>
      <c r="H750">
        <v>499</v>
      </c>
      <c r="I750">
        <v>52</v>
      </c>
      <c r="J750" s="4">
        <f>MAX(Inventory[[#This Row],[Qty On Hand]]-Inventory[[#This Row],[Qty Allocated]],0)</f>
        <v>447</v>
      </c>
      <c r="K750">
        <v>333</v>
      </c>
      <c r="L750" t="s">
        <v>2592</v>
      </c>
      <c r="M750" t="s">
        <v>2593</v>
      </c>
      <c r="N750" t="s">
        <v>2594</v>
      </c>
      <c r="O750" t="s">
        <v>26</v>
      </c>
      <c r="P750" t="s">
        <v>1119</v>
      </c>
      <c r="Q750" t="s">
        <v>34</v>
      </c>
    </row>
    <row r="751" spans="1:17" x14ac:dyDescent="0.25">
      <c r="A751" t="s">
        <v>2588</v>
      </c>
      <c r="B751" t="s">
        <v>2170</v>
      </c>
      <c r="C751" t="s">
        <v>2171</v>
      </c>
      <c r="D751" t="s">
        <v>2589</v>
      </c>
      <c r="E751" t="s">
        <v>21</v>
      </c>
      <c r="F751" t="s">
        <v>35</v>
      </c>
      <c r="G751">
        <v>75201</v>
      </c>
      <c r="H751">
        <v>284</v>
      </c>
      <c r="I751">
        <v>94</v>
      </c>
      <c r="J751" s="4">
        <f>MAX(Inventory[[#This Row],[Qty On Hand]]-Inventory[[#This Row],[Qty Allocated]],0)</f>
        <v>190</v>
      </c>
      <c r="K751">
        <v>177</v>
      </c>
      <c r="L751" t="s">
        <v>2595</v>
      </c>
      <c r="M751" t="s">
        <v>2596</v>
      </c>
      <c r="N751" t="s">
        <v>2359</v>
      </c>
      <c r="O751" t="s">
        <v>48</v>
      </c>
      <c r="P751" t="s">
        <v>2491</v>
      </c>
      <c r="Q751" t="s">
        <v>28</v>
      </c>
    </row>
    <row r="752" spans="1:17" x14ac:dyDescent="0.25">
      <c r="A752" t="s">
        <v>2588</v>
      </c>
      <c r="B752" t="s">
        <v>2170</v>
      </c>
      <c r="C752" t="s">
        <v>2171</v>
      </c>
      <c r="D752" t="s">
        <v>2589</v>
      </c>
      <c r="E752" t="s">
        <v>21</v>
      </c>
      <c r="F752" t="s">
        <v>35</v>
      </c>
      <c r="G752">
        <v>75201</v>
      </c>
      <c r="H752">
        <v>823</v>
      </c>
      <c r="I752">
        <v>70</v>
      </c>
      <c r="J752" s="4">
        <f>MAX(Inventory[[#This Row],[Qty On Hand]]-Inventory[[#This Row],[Qty Allocated]],0)</f>
        <v>753</v>
      </c>
      <c r="K752">
        <v>307</v>
      </c>
      <c r="L752" t="s">
        <v>2597</v>
      </c>
      <c r="M752" t="s">
        <v>2598</v>
      </c>
      <c r="N752" t="s">
        <v>2599</v>
      </c>
      <c r="O752" t="s">
        <v>26</v>
      </c>
      <c r="P752" t="s">
        <v>2600</v>
      </c>
      <c r="Q752" t="s">
        <v>28</v>
      </c>
    </row>
    <row r="753" spans="1:17" x14ac:dyDescent="0.25">
      <c r="A753" t="s">
        <v>2588</v>
      </c>
      <c r="B753" t="s">
        <v>2170</v>
      </c>
      <c r="C753" t="s">
        <v>2171</v>
      </c>
      <c r="D753" t="s">
        <v>2589</v>
      </c>
      <c r="E753" t="s">
        <v>21</v>
      </c>
      <c r="F753" t="s">
        <v>35</v>
      </c>
      <c r="G753">
        <v>75201</v>
      </c>
      <c r="H753">
        <v>301</v>
      </c>
      <c r="I753">
        <v>89</v>
      </c>
      <c r="J753" s="4">
        <f>MAX(Inventory[[#This Row],[Qty On Hand]]-Inventory[[#This Row],[Qty Allocated]],0)</f>
        <v>212</v>
      </c>
      <c r="K753">
        <v>366</v>
      </c>
      <c r="L753" t="s">
        <v>2601</v>
      </c>
      <c r="M753" t="s">
        <v>2602</v>
      </c>
      <c r="N753" t="s">
        <v>81</v>
      </c>
      <c r="O753" t="s">
        <v>26</v>
      </c>
      <c r="P753" t="s">
        <v>2603</v>
      </c>
      <c r="Q753" t="s">
        <v>92</v>
      </c>
    </row>
    <row r="754" spans="1:17" x14ac:dyDescent="0.25">
      <c r="A754" t="s">
        <v>2588</v>
      </c>
      <c r="B754" t="s">
        <v>2170</v>
      </c>
      <c r="C754" t="s">
        <v>2171</v>
      </c>
      <c r="D754" t="s">
        <v>2589</v>
      </c>
      <c r="E754" t="s">
        <v>21</v>
      </c>
      <c r="F754" t="s">
        <v>35</v>
      </c>
      <c r="G754">
        <v>75201</v>
      </c>
      <c r="H754">
        <v>699</v>
      </c>
      <c r="I754">
        <v>79</v>
      </c>
      <c r="J754" s="4">
        <f>MAX(Inventory[[#This Row],[Qty On Hand]]-Inventory[[#This Row],[Qty Allocated]],0)</f>
        <v>620</v>
      </c>
      <c r="K754">
        <v>129</v>
      </c>
      <c r="L754" t="s">
        <v>1070</v>
      </c>
      <c r="M754" t="s">
        <v>2604</v>
      </c>
      <c r="N754" t="s">
        <v>2605</v>
      </c>
      <c r="O754" t="s">
        <v>48</v>
      </c>
      <c r="P754" t="s">
        <v>1912</v>
      </c>
      <c r="Q754" t="s">
        <v>34</v>
      </c>
    </row>
    <row r="755" spans="1:17" x14ac:dyDescent="0.25">
      <c r="A755" t="s">
        <v>2588</v>
      </c>
      <c r="B755" t="s">
        <v>2170</v>
      </c>
      <c r="C755" t="s">
        <v>2171</v>
      </c>
      <c r="D755" t="s">
        <v>2589</v>
      </c>
      <c r="E755" t="s">
        <v>21</v>
      </c>
      <c r="F755" t="s">
        <v>62</v>
      </c>
      <c r="G755">
        <v>63101</v>
      </c>
      <c r="H755">
        <v>383</v>
      </c>
      <c r="I755">
        <v>49</v>
      </c>
      <c r="J755" s="4">
        <f>MAX(Inventory[[#This Row],[Qty On Hand]]-Inventory[[#This Row],[Qty Allocated]],0)</f>
        <v>334</v>
      </c>
      <c r="K755">
        <v>181</v>
      </c>
      <c r="L755" t="s">
        <v>2606</v>
      </c>
      <c r="M755" t="s">
        <v>2607</v>
      </c>
      <c r="N755" t="s">
        <v>1153</v>
      </c>
      <c r="O755" t="s">
        <v>26</v>
      </c>
      <c r="P755" t="s">
        <v>2608</v>
      </c>
      <c r="Q755" t="s">
        <v>28</v>
      </c>
    </row>
    <row r="756" spans="1:17" x14ac:dyDescent="0.25">
      <c r="A756" t="s">
        <v>2588</v>
      </c>
      <c r="B756" t="s">
        <v>2170</v>
      </c>
      <c r="C756" t="s">
        <v>2171</v>
      </c>
      <c r="D756" t="s">
        <v>2589</v>
      </c>
      <c r="E756" t="s">
        <v>21</v>
      </c>
      <c r="F756" t="s">
        <v>62</v>
      </c>
      <c r="G756">
        <v>63101</v>
      </c>
      <c r="H756">
        <v>469</v>
      </c>
      <c r="I756">
        <v>34</v>
      </c>
      <c r="J756" s="4">
        <f>MAX(Inventory[[#This Row],[Qty On Hand]]-Inventory[[#This Row],[Qty Allocated]],0)</f>
        <v>435</v>
      </c>
      <c r="K756">
        <v>178</v>
      </c>
      <c r="L756" t="s">
        <v>2609</v>
      </c>
      <c r="M756" t="s">
        <v>2610</v>
      </c>
      <c r="N756" t="s">
        <v>2611</v>
      </c>
      <c r="O756" t="s">
        <v>26</v>
      </c>
      <c r="P756" t="s">
        <v>273</v>
      </c>
      <c r="Q756" t="s">
        <v>92</v>
      </c>
    </row>
    <row r="757" spans="1:17" x14ac:dyDescent="0.25">
      <c r="A757" t="s">
        <v>2588</v>
      </c>
      <c r="B757" t="s">
        <v>2170</v>
      </c>
      <c r="C757" t="s">
        <v>2171</v>
      </c>
      <c r="D757" t="s">
        <v>2589</v>
      </c>
      <c r="E757" t="s">
        <v>21</v>
      </c>
      <c r="F757" t="s">
        <v>62</v>
      </c>
      <c r="G757">
        <v>63101</v>
      </c>
      <c r="H757">
        <v>507</v>
      </c>
      <c r="I757">
        <v>72</v>
      </c>
      <c r="J757" s="4">
        <f>MAX(Inventory[[#This Row],[Qty On Hand]]-Inventory[[#This Row],[Qty Allocated]],0)</f>
        <v>435</v>
      </c>
      <c r="K757">
        <v>294</v>
      </c>
      <c r="L757" t="s">
        <v>2612</v>
      </c>
      <c r="M757" t="s">
        <v>2613</v>
      </c>
      <c r="N757" t="s">
        <v>658</v>
      </c>
      <c r="O757" t="s">
        <v>48</v>
      </c>
      <c r="P757" t="s">
        <v>2614</v>
      </c>
      <c r="Q757" t="s">
        <v>92</v>
      </c>
    </row>
    <row r="758" spans="1:17" x14ac:dyDescent="0.25">
      <c r="A758" t="s">
        <v>2588</v>
      </c>
      <c r="B758" t="s">
        <v>2170</v>
      </c>
      <c r="C758" t="s">
        <v>2171</v>
      </c>
      <c r="D758" t="s">
        <v>2589</v>
      </c>
      <c r="E758" t="s">
        <v>21</v>
      </c>
      <c r="F758" t="s">
        <v>83</v>
      </c>
      <c r="G758">
        <v>28202</v>
      </c>
      <c r="H758">
        <v>760</v>
      </c>
      <c r="I758">
        <v>82</v>
      </c>
      <c r="J758" s="4">
        <f>MAX(Inventory[[#This Row],[Qty On Hand]]-Inventory[[#This Row],[Qty Allocated]],0)</f>
        <v>678</v>
      </c>
      <c r="K758">
        <v>206</v>
      </c>
      <c r="L758" t="s">
        <v>2615</v>
      </c>
      <c r="M758" t="s">
        <v>2616</v>
      </c>
      <c r="N758" t="s">
        <v>260</v>
      </c>
      <c r="O758" t="s">
        <v>26</v>
      </c>
      <c r="P758" t="s">
        <v>2617</v>
      </c>
      <c r="Q758" t="s">
        <v>28</v>
      </c>
    </row>
    <row r="759" spans="1:17" x14ac:dyDescent="0.25">
      <c r="A759" t="s">
        <v>2588</v>
      </c>
      <c r="B759" t="s">
        <v>2170</v>
      </c>
      <c r="C759" t="s">
        <v>2171</v>
      </c>
      <c r="D759" t="s">
        <v>2589</v>
      </c>
      <c r="E759" t="s">
        <v>21</v>
      </c>
      <c r="F759" t="s">
        <v>83</v>
      </c>
      <c r="G759">
        <v>28202</v>
      </c>
      <c r="H759">
        <v>404</v>
      </c>
      <c r="I759">
        <v>24</v>
      </c>
      <c r="J759" s="4">
        <f>MAX(Inventory[[#This Row],[Qty On Hand]]-Inventory[[#This Row],[Qty Allocated]],0)</f>
        <v>380</v>
      </c>
      <c r="K759">
        <v>358</v>
      </c>
      <c r="L759" t="s">
        <v>2618</v>
      </c>
      <c r="M759" t="s">
        <v>2619</v>
      </c>
      <c r="N759" t="s">
        <v>575</v>
      </c>
      <c r="O759" t="s">
        <v>26</v>
      </c>
      <c r="P759" t="s">
        <v>2620</v>
      </c>
      <c r="Q759" t="s">
        <v>28</v>
      </c>
    </row>
    <row r="760" spans="1:17" x14ac:dyDescent="0.25">
      <c r="A760" t="s">
        <v>2588</v>
      </c>
      <c r="B760" t="s">
        <v>2170</v>
      </c>
      <c r="C760" t="s">
        <v>2171</v>
      </c>
      <c r="D760" t="s">
        <v>2589</v>
      </c>
      <c r="E760" t="s">
        <v>21</v>
      </c>
      <c r="F760" t="s">
        <v>83</v>
      </c>
      <c r="G760">
        <v>28202</v>
      </c>
      <c r="H760">
        <v>817</v>
      </c>
      <c r="I760">
        <v>47</v>
      </c>
      <c r="J760" s="4">
        <f>MAX(Inventory[[#This Row],[Qty On Hand]]-Inventory[[#This Row],[Qty Allocated]],0)</f>
        <v>770</v>
      </c>
      <c r="K760">
        <v>124</v>
      </c>
      <c r="L760" t="s">
        <v>2621</v>
      </c>
      <c r="M760" t="s">
        <v>2622</v>
      </c>
      <c r="N760" t="s">
        <v>2623</v>
      </c>
      <c r="O760" t="s">
        <v>26</v>
      </c>
      <c r="P760" t="s">
        <v>2624</v>
      </c>
      <c r="Q760" t="s">
        <v>28</v>
      </c>
    </row>
    <row r="761" spans="1:17" x14ac:dyDescent="0.25">
      <c r="A761" t="s">
        <v>2588</v>
      </c>
      <c r="B761" t="s">
        <v>2170</v>
      </c>
      <c r="C761" t="s">
        <v>2171</v>
      </c>
      <c r="D761" t="s">
        <v>2589</v>
      </c>
      <c r="E761" t="s">
        <v>21</v>
      </c>
      <c r="F761" t="s">
        <v>83</v>
      </c>
      <c r="G761">
        <v>28202</v>
      </c>
      <c r="H761">
        <v>731</v>
      </c>
      <c r="I761">
        <v>45</v>
      </c>
      <c r="J761" s="4">
        <f>MAX(Inventory[[#This Row],[Qty On Hand]]-Inventory[[#This Row],[Qty Allocated]],0)</f>
        <v>686</v>
      </c>
      <c r="K761">
        <v>308</v>
      </c>
      <c r="L761" t="s">
        <v>2625</v>
      </c>
      <c r="M761" t="s">
        <v>2626</v>
      </c>
      <c r="N761" t="s">
        <v>2627</v>
      </c>
      <c r="O761" t="s">
        <v>48</v>
      </c>
      <c r="P761" t="s">
        <v>1746</v>
      </c>
      <c r="Q761" t="s">
        <v>28</v>
      </c>
    </row>
    <row r="762" spans="1:17" x14ac:dyDescent="0.25">
      <c r="A762" t="s">
        <v>2628</v>
      </c>
      <c r="B762" t="s">
        <v>2170</v>
      </c>
      <c r="C762" t="s">
        <v>2171</v>
      </c>
      <c r="D762" t="s">
        <v>2589</v>
      </c>
      <c r="E762" t="s">
        <v>122</v>
      </c>
      <c r="F762" t="s">
        <v>35</v>
      </c>
      <c r="G762">
        <v>75201</v>
      </c>
      <c r="H762">
        <v>761</v>
      </c>
      <c r="I762">
        <v>50</v>
      </c>
      <c r="J762" s="4">
        <f>MAX(Inventory[[#This Row],[Qty On Hand]]-Inventory[[#This Row],[Qty Allocated]],0)</f>
        <v>711</v>
      </c>
      <c r="K762">
        <v>180</v>
      </c>
      <c r="L762" t="s">
        <v>2629</v>
      </c>
      <c r="M762" t="s">
        <v>2630</v>
      </c>
      <c r="N762" t="s">
        <v>758</v>
      </c>
      <c r="O762" t="s">
        <v>26</v>
      </c>
      <c r="P762" t="s">
        <v>2631</v>
      </c>
      <c r="Q762" t="s">
        <v>40</v>
      </c>
    </row>
    <row r="763" spans="1:17" x14ac:dyDescent="0.25">
      <c r="A763" t="s">
        <v>2628</v>
      </c>
      <c r="B763" t="s">
        <v>2170</v>
      </c>
      <c r="C763" t="s">
        <v>2171</v>
      </c>
      <c r="D763" t="s">
        <v>2589</v>
      </c>
      <c r="E763" t="s">
        <v>122</v>
      </c>
      <c r="F763" t="s">
        <v>35</v>
      </c>
      <c r="G763">
        <v>75201</v>
      </c>
      <c r="H763">
        <v>262</v>
      </c>
      <c r="I763">
        <v>56</v>
      </c>
      <c r="J763" s="4">
        <f>MAX(Inventory[[#This Row],[Qty On Hand]]-Inventory[[#This Row],[Qty Allocated]],0)</f>
        <v>206</v>
      </c>
      <c r="K763">
        <v>232</v>
      </c>
      <c r="L763" t="s">
        <v>2632</v>
      </c>
      <c r="M763" t="s">
        <v>2633</v>
      </c>
      <c r="N763" t="s">
        <v>47</v>
      </c>
      <c r="O763" t="s">
        <v>26</v>
      </c>
      <c r="P763" t="s">
        <v>2634</v>
      </c>
      <c r="Q763" t="s">
        <v>34</v>
      </c>
    </row>
    <row r="764" spans="1:17" x14ac:dyDescent="0.25">
      <c r="A764" t="s">
        <v>2628</v>
      </c>
      <c r="B764" t="s">
        <v>2170</v>
      </c>
      <c r="C764" t="s">
        <v>2171</v>
      </c>
      <c r="D764" t="s">
        <v>2589</v>
      </c>
      <c r="E764" t="s">
        <v>122</v>
      </c>
      <c r="F764" t="s">
        <v>35</v>
      </c>
      <c r="G764">
        <v>75201</v>
      </c>
      <c r="H764">
        <v>990</v>
      </c>
      <c r="I764">
        <v>79</v>
      </c>
      <c r="J764" s="4">
        <f>MAX(Inventory[[#This Row],[Qty On Hand]]-Inventory[[#This Row],[Qty Allocated]],0)</f>
        <v>911</v>
      </c>
      <c r="K764">
        <v>396</v>
      </c>
      <c r="L764" t="s">
        <v>2635</v>
      </c>
      <c r="M764" t="s">
        <v>2636</v>
      </c>
      <c r="N764" t="s">
        <v>2637</v>
      </c>
      <c r="O764" t="s">
        <v>26</v>
      </c>
      <c r="P764" t="s">
        <v>1492</v>
      </c>
      <c r="Q764" t="s">
        <v>28</v>
      </c>
    </row>
    <row r="765" spans="1:17" x14ac:dyDescent="0.25">
      <c r="A765" t="s">
        <v>2628</v>
      </c>
      <c r="B765" t="s">
        <v>2170</v>
      </c>
      <c r="C765" t="s">
        <v>2171</v>
      </c>
      <c r="D765" t="s">
        <v>2589</v>
      </c>
      <c r="E765" t="s">
        <v>122</v>
      </c>
      <c r="F765" t="s">
        <v>35</v>
      </c>
      <c r="G765">
        <v>75201</v>
      </c>
      <c r="H765">
        <v>955</v>
      </c>
      <c r="I765">
        <v>64</v>
      </c>
      <c r="J765" s="4">
        <f>MAX(Inventory[[#This Row],[Qty On Hand]]-Inventory[[#This Row],[Qty Allocated]],0)</f>
        <v>891</v>
      </c>
      <c r="K765">
        <v>147</v>
      </c>
      <c r="L765" t="s">
        <v>2638</v>
      </c>
      <c r="M765" t="s">
        <v>2639</v>
      </c>
      <c r="N765" t="s">
        <v>2553</v>
      </c>
      <c r="O765" t="s">
        <v>26</v>
      </c>
      <c r="P765" t="s">
        <v>1458</v>
      </c>
      <c r="Q765" t="s">
        <v>40</v>
      </c>
    </row>
    <row r="766" spans="1:17" x14ac:dyDescent="0.25">
      <c r="A766" t="s">
        <v>2628</v>
      </c>
      <c r="B766" t="s">
        <v>2170</v>
      </c>
      <c r="C766" t="s">
        <v>2171</v>
      </c>
      <c r="D766" t="s">
        <v>2589</v>
      </c>
      <c r="E766" t="s">
        <v>122</v>
      </c>
      <c r="F766" t="s">
        <v>62</v>
      </c>
      <c r="G766">
        <v>63101</v>
      </c>
      <c r="H766">
        <v>758</v>
      </c>
      <c r="I766">
        <v>21</v>
      </c>
      <c r="J766" s="4">
        <f>MAX(Inventory[[#This Row],[Qty On Hand]]-Inventory[[#This Row],[Qty Allocated]],0)</f>
        <v>737</v>
      </c>
      <c r="K766">
        <v>137</v>
      </c>
      <c r="L766" t="s">
        <v>2640</v>
      </c>
      <c r="M766" t="s">
        <v>2641</v>
      </c>
      <c r="N766" t="s">
        <v>928</v>
      </c>
      <c r="O766" t="s">
        <v>26</v>
      </c>
      <c r="P766" t="s">
        <v>2642</v>
      </c>
      <c r="Q766" t="s">
        <v>34</v>
      </c>
    </row>
    <row r="767" spans="1:17" x14ac:dyDescent="0.25">
      <c r="A767" t="s">
        <v>2628</v>
      </c>
      <c r="B767" t="s">
        <v>2170</v>
      </c>
      <c r="C767" t="s">
        <v>2171</v>
      </c>
      <c r="D767" t="s">
        <v>2589</v>
      </c>
      <c r="E767" t="s">
        <v>122</v>
      </c>
      <c r="F767" t="s">
        <v>62</v>
      </c>
      <c r="G767">
        <v>63101</v>
      </c>
      <c r="H767">
        <v>857</v>
      </c>
      <c r="I767">
        <v>53</v>
      </c>
      <c r="J767" s="4">
        <f>MAX(Inventory[[#This Row],[Qty On Hand]]-Inventory[[#This Row],[Qty Allocated]],0)</f>
        <v>804</v>
      </c>
      <c r="K767">
        <v>290</v>
      </c>
      <c r="L767" t="s">
        <v>2643</v>
      </c>
      <c r="M767" t="s">
        <v>2644</v>
      </c>
      <c r="N767" t="s">
        <v>1606</v>
      </c>
      <c r="O767" t="s">
        <v>26</v>
      </c>
      <c r="P767" t="s">
        <v>2645</v>
      </c>
      <c r="Q767" t="s">
        <v>92</v>
      </c>
    </row>
    <row r="768" spans="1:17" x14ac:dyDescent="0.25">
      <c r="A768" t="s">
        <v>2628</v>
      </c>
      <c r="B768" t="s">
        <v>2170</v>
      </c>
      <c r="C768" t="s">
        <v>2171</v>
      </c>
      <c r="D768" t="s">
        <v>2589</v>
      </c>
      <c r="E768" t="s">
        <v>122</v>
      </c>
      <c r="F768" t="s">
        <v>62</v>
      </c>
      <c r="G768">
        <v>63101</v>
      </c>
      <c r="H768">
        <v>750</v>
      </c>
      <c r="I768">
        <v>28</v>
      </c>
      <c r="J768" s="4">
        <f>MAX(Inventory[[#This Row],[Qty On Hand]]-Inventory[[#This Row],[Qty Allocated]],0)</f>
        <v>722</v>
      </c>
      <c r="K768">
        <v>273</v>
      </c>
      <c r="L768" t="s">
        <v>1967</v>
      </c>
      <c r="M768" t="s">
        <v>2646</v>
      </c>
      <c r="N768" t="s">
        <v>2353</v>
      </c>
      <c r="O768" t="s">
        <v>48</v>
      </c>
      <c r="P768" t="s">
        <v>580</v>
      </c>
      <c r="Q768" t="s">
        <v>40</v>
      </c>
    </row>
    <row r="769" spans="1:17" x14ac:dyDescent="0.25">
      <c r="A769" t="s">
        <v>2628</v>
      </c>
      <c r="B769" t="s">
        <v>2170</v>
      </c>
      <c r="C769" t="s">
        <v>2171</v>
      </c>
      <c r="D769" t="s">
        <v>2589</v>
      </c>
      <c r="E769" t="s">
        <v>122</v>
      </c>
      <c r="F769" t="s">
        <v>83</v>
      </c>
      <c r="G769">
        <v>28202</v>
      </c>
      <c r="H769">
        <v>709</v>
      </c>
      <c r="I769">
        <v>58</v>
      </c>
      <c r="J769" s="4">
        <f>MAX(Inventory[[#This Row],[Qty On Hand]]-Inventory[[#This Row],[Qty Allocated]],0)</f>
        <v>651</v>
      </c>
      <c r="K769">
        <v>383</v>
      </c>
      <c r="L769" t="s">
        <v>2647</v>
      </c>
      <c r="M769" t="s">
        <v>2648</v>
      </c>
      <c r="N769" t="s">
        <v>2649</v>
      </c>
      <c r="O769" t="s">
        <v>48</v>
      </c>
      <c r="P769" t="s">
        <v>2509</v>
      </c>
      <c r="Q769" t="s">
        <v>34</v>
      </c>
    </row>
    <row r="770" spans="1:17" x14ac:dyDescent="0.25">
      <c r="A770" t="s">
        <v>2628</v>
      </c>
      <c r="B770" t="s">
        <v>2170</v>
      </c>
      <c r="C770" t="s">
        <v>2171</v>
      </c>
      <c r="D770" t="s">
        <v>2589</v>
      </c>
      <c r="E770" t="s">
        <v>122</v>
      </c>
      <c r="F770" t="s">
        <v>83</v>
      </c>
      <c r="G770">
        <v>28202</v>
      </c>
      <c r="H770">
        <v>810</v>
      </c>
      <c r="I770">
        <v>79</v>
      </c>
      <c r="J770" s="4">
        <f>MAX(Inventory[[#This Row],[Qty On Hand]]-Inventory[[#This Row],[Qty Allocated]],0)</f>
        <v>731</v>
      </c>
      <c r="K770">
        <v>343</v>
      </c>
      <c r="L770" t="s">
        <v>2650</v>
      </c>
      <c r="M770" t="s">
        <v>2651</v>
      </c>
      <c r="N770" t="s">
        <v>2652</v>
      </c>
      <c r="O770" t="s">
        <v>26</v>
      </c>
      <c r="P770" t="s">
        <v>253</v>
      </c>
      <c r="Q770" t="s">
        <v>92</v>
      </c>
    </row>
    <row r="771" spans="1:17" x14ac:dyDescent="0.25">
      <c r="A771" t="s">
        <v>2628</v>
      </c>
      <c r="B771" t="s">
        <v>2170</v>
      </c>
      <c r="C771" t="s">
        <v>2171</v>
      </c>
      <c r="D771" t="s">
        <v>2589</v>
      </c>
      <c r="E771" t="s">
        <v>122</v>
      </c>
      <c r="F771" t="s">
        <v>83</v>
      </c>
      <c r="G771">
        <v>28202</v>
      </c>
      <c r="H771">
        <v>463</v>
      </c>
      <c r="I771">
        <v>6</v>
      </c>
      <c r="J771" s="4">
        <f>MAX(Inventory[[#This Row],[Qty On Hand]]-Inventory[[#This Row],[Qty Allocated]],0)</f>
        <v>457</v>
      </c>
      <c r="K771">
        <v>120</v>
      </c>
      <c r="L771" t="s">
        <v>1699</v>
      </c>
      <c r="M771" t="s">
        <v>2653</v>
      </c>
      <c r="N771" t="s">
        <v>2654</v>
      </c>
      <c r="O771" t="s">
        <v>26</v>
      </c>
      <c r="P771" t="s">
        <v>2655</v>
      </c>
      <c r="Q771" t="s">
        <v>40</v>
      </c>
    </row>
    <row r="772" spans="1:17" x14ac:dyDescent="0.25">
      <c r="A772" t="s">
        <v>2628</v>
      </c>
      <c r="B772" t="s">
        <v>2170</v>
      </c>
      <c r="C772" t="s">
        <v>2171</v>
      </c>
      <c r="D772" t="s">
        <v>2589</v>
      </c>
      <c r="E772" t="s">
        <v>122</v>
      </c>
      <c r="F772" t="s">
        <v>83</v>
      </c>
      <c r="G772">
        <v>28202</v>
      </c>
      <c r="H772">
        <v>502</v>
      </c>
      <c r="I772">
        <v>55</v>
      </c>
      <c r="J772" s="4">
        <f>MAX(Inventory[[#This Row],[Qty On Hand]]-Inventory[[#This Row],[Qty Allocated]],0)</f>
        <v>447</v>
      </c>
      <c r="K772">
        <v>342</v>
      </c>
      <c r="L772" t="s">
        <v>2656</v>
      </c>
      <c r="M772" t="s">
        <v>2657</v>
      </c>
      <c r="N772" t="s">
        <v>2658</v>
      </c>
      <c r="O772" t="s">
        <v>26</v>
      </c>
      <c r="P772" t="s">
        <v>1038</v>
      </c>
      <c r="Q772" t="s">
        <v>34</v>
      </c>
    </row>
    <row r="773" spans="1:17" x14ac:dyDescent="0.25">
      <c r="A773" t="s">
        <v>2628</v>
      </c>
      <c r="B773" t="s">
        <v>2170</v>
      </c>
      <c r="C773" t="s">
        <v>2171</v>
      </c>
      <c r="D773" t="s">
        <v>2589</v>
      </c>
      <c r="E773" t="s">
        <v>122</v>
      </c>
      <c r="F773" t="s">
        <v>83</v>
      </c>
      <c r="G773">
        <v>28202</v>
      </c>
      <c r="H773">
        <v>496</v>
      </c>
      <c r="I773">
        <v>81</v>
      </c>
      <c r="J773" s="4">
        <f>MAX(Inventory[[#This Row],[Qty On Hand]]-Inventory[[#This Row],[Qty Allocated]],0)</f>
        <v>415</v>
      </c>
      <c r="K773">
        <v>293</v>
      </c>
      <c r="L773" t="s">
        <v>2659</v>
      </c>
      <c r="M773" t="s">
        <v>2660</v>
      </c>
      <c r="N773" t="s">
        <v>358</v>
      </c>
      <c r="O773" t="s">
        <v>26</v>
      </c>
      <c r="P773" t="s">
        <v>1399</v>
      </c>
      <c r="Q773" t="s">
        <v>92</v>
      </c>
    </row>
    <row r="774" spans="1:17" x14ac:dyDescent="0.25">
      <c r="A774" t="s">
        <v>2661</v>
      </c>
      <c r="B774" t="s">
        <v>2170</v>
      </c>
      <c r="C774" t="s">
        <v>2171</v>
      </c>
      <c r="D774" t="s">
        <v>2589</v>
      </c>
      <c r="E774" t="s">
        <v>171</v>
      </c>
      <c r="F774" t="s">
        <v>22</v>
      </c>
      <c r="G774">
        <v>94102</v>
      </c>
      <c r="H774">
        <v>4</v>
      </c>
      <c r="I774">
        <v>2</v>
      </c>
      <c r="J774" s="4">
        <f>MAX(Inventory[[#This Row],[Qty On Hand]]-Inventory[[#This Row],[Qty Allocated]],0)</f>
        <v>2</v>
      </c>
      <c r="K774">
        <v>628</v>
      </c>
      <c r="L774" t="s">
        <v>2662</v>
      </c>
      <c r="M774" t="s">
        <v>2663</v>
      </c>
      <c r="N774" t="s">
        <v>2125</v>
      </c>
      <c r="O774" t="s">
        <v>26</v>
      </c>
      <c r="P774" t="s">
        <v>2664</v>
      </c>
      <c r="Q774" t="s">
        <v>28</v>
      </c>
    </row>
    <row r="775" spans="1:17" x14ac:dyDescent="0.25">
      <c r="A775" t="s">
        <v>2661</v>
      </c>
      <c r="B775" t="s">
        <v>2170</v>
      </c>
      <c r="C775" t="s">
        <v>2171</v>
      </c>
      <c r="D775" t="s">
        <v>2589</v>
      </c>
      <c r="E775" t="s">
        <v>171</v>
      </c>
      <c r="F775" t="s">
        <v>35</v>
      </c>
      <c r="G775">
        <v>75201</v>
      </c>
      <c r="H775">
        <v>916</v>
      </c>
      <c r="I775">
        <v>3</v>
      </c>
      <c r="J775" s="4">
        <f>MAX(Inventory[[#This Row],[Qty On Hand]]-Inventory[[#This Row],[Qty Allocated]],0)</f>
        <v>913</v>
      </c>
      <c r="K775">
        <v>269</v>
      </c>
      <c r="L775" t="s">
        <v>439</v>
      </c>
      <c r="M775" t="s">
        <v>2665</v>
      </c>
      <c r="N775" t="s">
        <v>2666</v>
      </c>
      <c r="O775" t="s">
        <v>26</v>
      </c>
      <c r="P775" t="s">
        <v>2667</v>
      </c>
      <c r="Q775" t="s">
        <v>34</v>
      </c>
    </row>
    <row r="776" spans="1:17" x14ac:dyDescent="0.25">
      <c r="A776" t="s">
        <v>2661</v>
      </c>
      <c r="B776" t="s">
        <v>2170</v>
      </c>
      <c r="C776" t="s">
        <v>2171</v>
      </c>
      <c r="D776" t="s">
        <v>2589</v>
      </c>
      <c r="E776" t="s">
        <v>171</v>
      </c>
      <c r="F776" t="s">
        <v>35</v>
      </c>
      <c r="G776">
        <v>75201</v>
      </c>
      <c r="H776">
        <v>318</v>
      </c>
      <c r="I776">
        <v>76</v>
      </c>
      <c r="J776" s="4">
        <f>MAX(Inventory[[#This Row],[Qty On Hand]]-Inventory[[#This Row],[Qty Allocated]],0)</f>
        <v>242</v>
      </c>
      <c r="K776">
        <v>311</v>
      </c>
      <c r="L776" t="s">
        <v>2668</v>
      </c>
      <c r="M776" t="s">
        <v>2669</v>
      </c>
      <c r="N776" t="s">
        <v>2670</v>
      </c>
      <c r="O776" t="s">
        <v>48</v>
      </c>
      <c r="P776" t="s">
        <v>2159</v>
      </c>
      <c r="Q776" t="s">
        <v>92</v>
      </c>
    </row>
    <row r="777" spans="1:17" x14ac:dyDescent="0.25">
      <c r="A777" t="s">
        <v>2661</v>
      </c>
      <c r="B777" t="s">
        <v>2170</v>
      </c>
      <c r="C777" t="s">
        <v>2171</v>
      </c>
      <c r="D777" t="s">
        <v>2589</v>
      </c>
      <c r="E777" t="s">
        <v>171</v>
      </c>
      <c r="F777" t="s">
        <v>35</v>
      </c>
      <c r="G777">
        <v>75201</v>
      </c>
      <c r="H777">
        <v>759</v>
      </c>
      <c r="I777">
        <v>29</v>
      </c>
      <c r="J777" s="4">
        <f>MAX(Inventory[[#This Row],[Qty On Hand]]-Inventory[[#This Row],[Qty Allocated]],0)</f>
        <v>730</v>
      </c>
      <c r="K777">
        <v>312</v>
      </c>
      <c r="L777" t="s">
        <v>2671</v>
      </c>
      <c r="M777" t="s">
        <v>2672</v>
      </c>
      <c r="N777" t="s">
        <v>2673</v>
      </c>
      <c r="O777" t="s">
        <v>48</v>
      </c>
      <c r="P777" t="s">
        <v>2674</v>
      </c>
      <c r="Q777" t="s">
        <v>34</v>
      </c>
    </row>
    <row r="778" spans="1:17" x14ac:dyDescent="0.25">
      <c r="A778" t="s">
        <v>2661</v>
      </c>
      <c r="B778" t="s">
        <v>2170</v>
      </c>
      <c r="C778" t="s">
        <v>2171</v>
      </c>
      <c r="D778" t="s">
        <v>2589</v>
      </c>
      <c r="E778" t="s">
        <v>171</v>
      </c>
      <c r="F778" t="s">
        <v>35</v>
      </c>
      <c r="G778">
        <v>75201</v>
      </c>
      <c r="H778">
        <v>991</v>
      </c>
      <c r="I778">
        <v>14</v>
      </c>
      <c r="J778" s="4">
        <f>MAX(Inventory[[#This Row],[Qty On Hand]]-Inventory[[#This Row],[Qty Allocated]],0)</f>
        <v>977</v>
      </c>
      <c r="K778">
        <v>112</v>
      </c>
      <c r="L778" t="s">
        <v>2675</v>
      </c>
      <c r="M778" t="s">
        <v>2676</v>
      </c>
      <c r="N778" t="s">
        <v>686</v>
      </c>
      <c r="O778" t="s">
        <v>26</v>
      </c>
      <c r="P778" t="s">
        <v>150</v>
      </c>
      <c r="Q778" t="s">
        <v>34</v>
      </c>
    </row>
    <row r="779" spans="1:17" x14ac:dyDescent="0.25">
      <c r="A779" t="s">
        <v>2661</v>
      </c>
      <c r="B779" t="s">
        <v>2170</v>
      </c>
      <c r="C779" t="s">
        <v>2171</v>
      </c>
      <c r="D779" t="s">
        <v>2589</v>
      </c>
      <c r="E779" t="s">
        <v>171</v>
      </c>
      <c r="F779" t="s">
        <v>35</v>
      </c>
      <c r="G779">
        <v>75201</v>
      </c>
      <c r="H779">
        <v>846</v>
      </c>
      <c r="I779">
        <v>0</v>
      </c>
      <c r="J779" s="4">
        <f>MAX(Inventory[[#This Row],[Qty On Hand]]-Inventory[[#This Row],[Qty Allocated]],0)</f>
        <v>846</v>
      </c>
      <c r="K779">
        <v>342</v>
      </c>
      <c r="L779" t="s">
        <v>2677</v>
      </c>
      <c r="M779" t="s">
        <v>2678</v>
      </c>
      <c r="N779" t="s">
        <v>276</v>
      </c>
      <c r="O779" t="s">
        <v>26</v>
      </c>
      <c r="P779" t="s">
        <v>134</v>
      </c>
      <c r="Q779" t="s">
        <v>34</v>
      </c>
    </row>
    <row r="780" spans="1:17" x14ac:dyDescent="0.25">
      <c r="A780" t="s">
        <v>2661</v>
      </c>
      <c r="B780" t="s">
        <v>2170</v>
      </c>
      <c r="C780" t="s">
        <v>2171</v>
      </c>
      <c r="D780" t="s">
        <v>2589</v>
      </c>
      <c r="E780" t="s">
        <v>171</v>
      </c>
      <c r="F780" t="s">
        <v>62</v>
      </c>
      <c r="G780">
        <v>63101</v>
      </c>
      <c r="H780">
        <v>852</v>
      </c>
      <c r="I780">
        <v>28</v>
      </c>
      <c r="J780" s="4">
        <f>MAX(Inventory[[#This Row],[Qty On Hand]]-Inventory[[#This Row],[Qty Allocated]],0)</f>
        <v>824</v>
      </c>
      <c r="K780">
        <v>298</v>
      </c>
      <c r="L780" t="s">
        <v>2679</v>
      </c>
      <c r="M780" t="s">
        <v>2680</v>
      </c>
      <c r="N780" t="s">
        <v>2681</v>
      </c>
      <c r="O780" t="s">
        <v>48</v>
      </c>
      <c r="P780" t="s">
        <v>1689</v>
      </c>
      <c r="Q780" t="s">
        <v>34</v>
      </c>
    </row>
    <row r="781" spans="1:17" x14ac:dyDescent="0.25">
      <c r="A781" t="s">
        <v>2661</v>
      </c>
      <c r="B781" t="s">
        <v>2170</v>
      </c>
      <c r="C781" t="s">
        <v>2171</v>
      </c>
      <c r="D781" t="s">
        <v>2589</v>
      </c>
      <c r="E781" t="s">
        <v>171</v>
      </c>
      <c r="F781" t="s">
        <v>62</v>
      </c>
      <c r="G781">
        <v>63101</v>
      </c>
      <c r="H781">
        <v>591</v>
      </c>
      <c r="I781">
        <v>90</v>
      </c>
      <c r="J781" s="4">
        <f>MAX(Inventory[[#This Row],[Qty On Hand]]-Inventory[[#This Row],[Qty Allocated]],0)</f>
        <v>501</v>
      </c>
      <c r="K781">
        <v>259</v>
      </c>
      <c r="L781" t="s">
        <v>2682</v>
      </c>
      <c r="M781" t="s">
        <v>2683</v>
      </c>
      <c r="N781" t="s">
        <v>2684</v>
      </c>
      <c r="O781" t="s">
        <v>26</v>
      </c>
      <c r="P781" t="s">
        <v>2685</v>
      </c>
      <c r="Q781" t="s">
        <v>40</v>
      </c>
    </row>
    <row r="782" spans="1:17" x14ac:dyDescent="0.25">
      <c r="A782" t="s">
        <v>2661</v>
      </c>
      <c r="B782" t="s">
        <v>2170</v>
      </c>
      <c r="C782" t="s">
        <v>2171</v>
      </c>
      <c r="D782" t="s">
        <v>2589</v>
      </c>
      <c r="E782" t="s">
        <v>171</v>
      </c>
      <c r="F782" t="s">
        <v>62</v>
      </c>
      <c r="G782">
        <v>63101</v>
      </c>
      <c r="H782">
        <v>838</v>
      </c>
      <c r="I782">
        <v>37</v>
      </c>
      <c r="J782" s="4">
        <f>MAX(Inventory[[#This Row],[Qty On Hand]]-Inventory[[#This Row],[Qty Allocated]],0)</f>
        <v>801</v>
      </c>
      <c r="K782">
        <v>365</v>
      </c>
      <c r="L782" t="s">
        <v>2686</v>
      </c>
      <c r="M782" t="s">
        <v>2687</v>
      </c>
      <c r="N782" t="s">
        <v>2688</v>
      </c>
      <c r="O782" t="s">
        <v>48</v>
      </c>
      <c r="P782" t="s">
        <v>917</v>
      </c>
      <c r="Q782" t="s">
        <v>28</v>
      </c>
    </row>
    <row r="783" spans="1:17" x14ac:dyDescent="0.25">
      <c r="A783" t="s">
        <v>2661</v>
      </c>
      <c r="B783" t="s">
        <v>2170</v>
      </c>
      <c r="C783" t="s">
        <v>2171</v>
      </c>
      <c r="D783" t="s">
        <v>2589</v>
      </c>
      <c r="E783" t="s">
        <v>171</v>
      </c>
      <c r="F783" t="s">
        <v>62</v>
      </c>
      <c r="G783">
        <v>63101</v>
      </c>
      <c r="H783">
        <v>894</v>
      </c>
      <c r="I783">
        <v>83</v>
      </c>
      <c r="J783" s="4">
        <f>MAX(Inventory[[#This Row],[Qty On Hand]]-Inventory[[#This Row],[Qty Allocated]],0)</f>
        <v>811</v>
      </c>
      <c r="K783">
        <v>345</v>
      </c>
      <c r="L783" t="s">
        <v>2689</v>
      </c>
      <c r="M783" t="s">
        <v>2690</v>
      </c>
      <c r="N783" t="s">
        <v>1156</v>
      </c>
      <c r="O783" t="s">
        <v>26</v>
      </c>
      <c r="P783" t="s">
        <v>2691</v>
      </c>
      <c r="Q783" t="s">
        <v>34</v>
      </c>
    </row>
    <row r="784" spans="1:17" x14ac:dyDescent="0.25">
      <c r="A784" t="s">
        <v>2661</v>
      </c>
      <c r="B784" t="s">
        <v>2170</v>
      </c>
      <c r="C784" t="s">
        <v>2171</v>
      </c>
      <c r="D784" t="s">
        <v>2589</v>
      </c>
      <c r="E784" t="s">
        <v>171</v>
      </c>
      <c r="F784" t="s">
        <v>62</v>
      </c>
      <c r="G784">
        <v>63101</v>
      </c>
      <c r="H784">
        <v>380</v>
      </c>
      <c r="I784">
        <v>68</v>
      </c>
      <c r="J784" s="4">
        <f>MAX(Inventory[[#This Row],[Qty On Hand]]-Inventory[[#This Row],[Qty Allocated]],0)</f>
        <v>312</v>
      </c>
      <c r="K784">
        <v>156</v>
      </c>
      <c r="L784" t="s">
        <v>2692</v>
      </c>
      <c r="M784" t="s">
        <v>2693</v>
      </c>
      <c r="N784" t="s">
        <v>1901</v>
      </c>
      <c r="O784" t="s">
        <v>26</v>
      </c>
      <c r="P784" t="s">
        <v>2694</v>
      </c>
      <c r="Q784" t="s">
        <v>92</v>
      </c>
    </row>
    <row r="785" spans="1:17" x14ac:dyDescent="0.25">
      <c r="A785" t="s">
        <v>2661</v>
      </c>
      <c r="B785" t="s">
        <v>2170</v>
      </c>
      <c r="C785" t="s">
        <v>2171</v>
      </c>
      <c r="D785" t="s">
        <v>2589</v>
      </c>
      <c r="E785" t="s">
        <v>171</v>
      </c>
      <c r="F785" t="s">
        <v>62</v>
      </c>
      <c r="G785">
        <v>63101</v>
      </c>
      <c r="H785">
        <v>936</v>
      </c>
      <c r="I785">
        <v>73</v>
      </c>
      <c r="J785" s="4">
        <f>MAX(Inventory[[#This Row],[Qty On Hand]]-Inventory[[#This Row],[Qty Allocated]],0)</f>
        <v>863</v>
      </c>
      <c r="K785">
        <v>119</v>
      </c>
      <c r="L785" t="s">
        <v>2695</v>
      </c>
      <c r="M785" t="s">
        <v>2696</v>
      </c>
      <c r="N785" t="s">
        <v>733</v>
      </c>
      <c r="O785" t="s">
        <v>26</v>
      </c>
      <c r="P785" t="s">
        <v>499</v>
      </c>
      <c r="Q785" t="s">
        <v>28</v>
      </c>
    </row>
    <row r="786" spans="1:17" x14ac:dyDescent="0.25">
      <c r="A786" t="s">
        <v>2661</v>
      </c>
      <c r="B786" t="s">
        <v>2170</v>
      </c>
      <c r="C786" t="s">
        <v>2171</v>
      </c>
      <c r="D786" t="s">
        <v>2589</v>
      </c>
      <c r="E786" t="s">
        <v>171</v>
      </c>
      <c r="F786" t="s">
        <v>83</v>
      </c>
      <c r="G786">
        <v>28202</v>
      </c>
      <c r="H786">
        <v>245</v>
      </c>
      <c r="I786">
        <v>36</v>
      </c>
      <c r="J786" s="4">
        <f>MAX(Inventory[[#This Row],[Qty On Hand]]-Inventory[[#This Row],[Qty Allocated]],0)</f>
        <v>209</v>
      </c>
      <c r="K786">
        <v>362</v>
      </c>
      <c r="L786" t="s">
        <v>2697</v>
      </c>
      <c r="M786" t="s">
        <v>2698</v>
      </c>
      <c r="N786" t="s">
        <v>441</v>
      </c>
      <c r="O786" t="s">
        <v>26</v>
      </c>
      <c r="P786" t="s">
        <v>1293</v>
      </c>
      <c r="Q786" t="s">
        <v>34</v>
      </c>
    </row>
    <row r="787" spans="1:17" x14ac:dyDescent="0.25">
      <c r="A787" t="s">
        <v>2661</v>
      </c>
      <c r="B787" t="s">
        <v>2170</v>
      </c>
      <c r="C787" t="s">
        <v>2171</v>
      </c>
      <c r="D787" t="s">
        <v>2589</v>
      </c>
      <c r="E787" t="s">
        <v>171</v>
      </c>
      <c r="F787" t="s">
        <v>83</v>
      </c>
      <c r="G787">
        <v>28202</v>
      </c>
      <c r="H787">
        <v>792</v>
      </c>
      <c r="I787">
        <v>48</v>
      </c>
      <c r="J787" s="4">
        <f>MAX(Inventory[[#This Row],[Qty On Hand]]-Inventory[[#This Row],[Qty Allocated]],0)</f>
        <v>744</v>
      </c>
      <c r="K787">
        <v>287</v>
      </c>
      <c r="L787" t="s">
        <v>2699</v>
      </c>
      <c r="M787" t="s">
        <v>2700</v>
      </c>
      <c r="N787" t="s">
        <v>853</v>
      </c>
      <c r="O787" t="s">
        <v>48</v>
      </c>
      <c r="P787" t="s">
        <v>1595</v>
      </c>
      <c r="Q787" t="s">
        <v>28</v>
      </c>
    </row>
    <row r="788" spans="1:17" x14ac:dyDescent="0.25">
      <c r="A788" t="s">
        <v>2661</v>
      </c>
      <c r="B788" t="s">
        <v>2170</v>
      </c>
      <c r="C788" t="s">
        <v>2171</v>
      </c>
      <c r="D788" t="s">
        <v>2589</v>
      </c>
      <c r="E788" t="s">
        <v>171</v>
      </c>
      <c r="F788" t="s">
        <v>83</v>
      </c>
      <c r="G788">
        <v>28202</v>
      </c>
      <c r="H788">
        <v>765</v>
      </c>
      <c r="I788">
        <v>31</v>
      </c>
      <c r="J788" s="4">
        <f>MAX(Inventory[[#This Row],[Qty On Hand]]-Inventory[[#This Row],[Qty Allocated]],0)</f>
        <v>734</v>
      </c>
      <c r="K788">
        <v>152</v>
      </c>
      <c r="L788" t="s">
        <v>2441</v>
      </c>
      <c r="M788" t="s">
        <v>2701</v>
      </c>
      <c r="N788" t="s">
        <v>2623</v>
      </c>
      <c r="O788" t="s">
        <v>26</v>
      </c>
      <c r="P788" t="s">
        <v>902</v>
      </c>
      <c r="Q788" t="s">
        <v>40</v>
      </c>
    </row>
    <row r="789" spans="1:17" x14ac:dyDescent="0.25">
      <c r="A789" t="s">
        <v>2661</v>
      </c>
      <c r="B789" t="s">
        <v>2170</v>
      </c>
      <c r="C789" t="s">
        <v>2171</v>
      </c>
      <c r="D789" t="s">
        <v>2589</v>
      </c>
      <c r="E789" t="s">
        <v>171</v>
      </c>
      <c r="F789" t="s">
        <v>83</v>
      </c>
      <c r="G789">
        <v>28202</v>
      </c>
      <c r="H789">
        <v>625</v>
      </c>
      <c r="I789">
        <v>39</v>
      </c>
      <c r="J789" s="4">
        <f>MAX(Inventory[[#This Row],[Qty On Hand]]-Inventory[[#This Row],[Qty Allocated]],0)</f>
        <v>586</v>
      </c>
      <c r="K789">
        <v>100</v>
      </c>
      <c r="L789" t="s">
        <v>2702</v>
      </c>
      <c r="M789" t="s">
        <v>2703</v>
      </c>
      <c r="N789" t="s">
        <v>156</v>
      </c>
      <c r="O789" t="s">
        <v>26</v>
      </c>
      <c r="P789" t="s">
        <v>2704</v>
      </c>
      <c r="Q789" t="s">
        <v>28</v>
      </c>
    </row>
    <row r="790" spans="1:17" x14ac:dyDescent="0.25">
      <c r="G790"/>
    </row>
    <row r="791" spans="1:17" x14ac:dyDescent="0.25">
      <c r="G791"/>
    </row>
    <row r="792" spans="1:17" x14ac:dyDescent="0.25">
      <c r="G792"/>
    </row>
    <row r="793" spans="1:17" x14ac:dyDescent="0.25">
      <c r="G793"/>
    </row>
    <row r="794" spans="1:17" x14ac:dyDescent="0.25">
      <c r="G794"/>
    </row>
    <row r="795" spans="1:17" x14ac:dyDescent="0.25">
      <c r="G795"/>
    </row>
    <row r="796" spans="1:17" x14ac:dyDescent="0.25">
      <c r="G796"/>
    </row>
    <row r="797" spans="1:17" x14ac:dyDescent="0.25">
      <c r="G797"/>
    </row>
    <row r="798" spans="1:17" x14ac:dyDescent="0.25">
      <c r="G798"/>
    </row>
    <row r="799" spans="1:17" x14ac:dyDescent="0.25">
      <c r="G799"/>
    </row>
    <row r="800" spans="1:17" x14ac:dyDescent="0.25">
      <c r="G800"/>
    </row>
    <row r="801" spans="7:7" x14ac:dyDescent="0.25">
      <c r="G801"/>
    </row>
    <row r="802" spans="7:7" x14ac:dyDescent="0.25">
      <c r="G802"/>
    </row>
    <row r="803" spans="7:7" x14ac:dyDescent="0.25">
      <c r="G803"/>
    </row>
    <row r="804" spans="7:7" x14ac:dyDescent="0.25">
      <c r="G804"/>
    </row>
    <row r="805" spans="7:7" x14ac:dyDescent="0.25">
      <c r="G805"/>
    </row>
    <row r="806" spans="7:7" x14ac:dyDescent="0.25">
      <c r="G806"/>
    </row>
    <row r="807" spans="7:7" x14ac:dyDescent="0.25">
      <c r="G807"/>
    </row>
    <row r="808" spans="7:7" x14ac:dyDescent="0.25">
      <c r="G808"/>
    </row>
    <row r="809" spans="7:7" x14ac:dyDescent="0.25">
      <c r="G809"/>
    </row>
    <row r="810" spans="7:7" x14ac:dyDescent="0.25">
      <c r="G810"/>
    </row>
    <row r="811" spans="7:7" x14ac:dyDescent="0.25">
      <c r="G811"/>
    </row>
    <row r="812" spans="7:7" x14ac:dyDescent="0.25">
      <c r="G812"/>
    </row>
    <row r="813" spans="7:7" x14ac:dyDescent="0.25">
      <c r="G813"/>
    </row>
    <row r="814" spans="7:7" x14ac:dyDescent="0.25">
      <c r="G814"/>
    </row>
    <row r="815" spans="7:7" x14ac:dyDescent="0.25">
      <c r="G815"/>
    </row>
    <row r="816" spans="7:7" x14ac:dyDescent="0.25">
      <c r="G816"/>
    </row>
    <row r="817" spans="7:7" x14ac:dyDescent="0.25">
      <c r="G817"/>
    </row>
    <row r="818" spans="7:7" x14ac:dyDescent="0.25">
      <c r="G818"/>
    </row>
    <row r="819" spans="7:7" x14ac:dyDescent="0.25">
      <c r="G819"/>
    </row>
    <row r="820" spans="7:7" x14ac:dyDescent="0.25">
      <c r="G820"/>
    </row>
    <row r="821" spans="7:7" x14ac:dyDescent="0.25">
      <c r="G821"/>
    </row>
    <row r="822" spans="7:7" x14ac:dyDescent="0.25">
      <c r="G822"/>
    </row>
    <row r="823" spans="7:7" x14ac:dyDescent="0.25">
      <c r="G823"/>
    </row>
    <row r="824" spans="7:7" x14ac:dyDescent="0.25">
      <c r="G824"/>
    </row>
    <row r="825" spans="7:7" x14ac:dyDescent="0.25">
      <c r="G825"/>
    </row>
    <row r="826" spans="7:7" x14ac:dyDescent="0.25">
      <c r="G826"/>
    </row>
    <row r="827" spans="7:7" x14ac:dyDescent="0.25">
      <c r="G827"/>
    </row>
    <row r="828" spans="7:7" x14ac:dyDescent="0.25">
      <c r="G828"/>
    </row>
    <row r="829" spans="7:7" x14ac:dyDescent="0.25">
      <c r="G829"/>
    </row>
    <row r="830" spans="7:7" x14ac:dyDescent="0.25">
      <c r="G830"/>
    </row>
    <row r="831" spans="7:7" x14ac:dyDescent="0.25">
      <c r="G831"/>
    </row>
    <row r="832" spans="7:7" x14ac:dyDescent="0.25">
      <c r="G832"/>
    </row>
    <row r="833" spans="7:7" x14ac:dyDescent="0.25">
      <c r="G833"/>
    </row>
    <row r="834" spans="7:7" x14ac:dyDescent="0.25">
      <c r="G834"/>
    </row>
    <row r="835" spans="7:7" x14ac:dyDescent="0.25">
      <c r="G835"/>
    </row>
    <row r="836" spans="7:7" x14ac:dyDescent="0.25">
      <c r="G836"/>
    </row>
    <row r="837" spans="7:7" x14ac:dyDescent="0.25">
      <c r="G837"/>
    </row>
    <row r="838" spans="7:7" x14ac:dyDescent="0.25">
      <c r="G838"/>
    </row>
    <row r="839" spans="7:7" x14ac:dyDescent="0.25">
      <c r="G839"/>
    </row>
    <row r="840" spans="7:7" x14ac:dyDescent="0.25">
      <c r="G840"/>
    </row>
    <row r="841" spans="7:7" x14ac:dyDescent="0.25">
      <c r="G841"/>
    </row>
    <row r="842" spans="7:7" x14ac:dyDescent="0.25">
      <c r="G842"/>
    </row>
    <row r="843" spans="7:7" x14ac:dyDescent="0.25">
      <c r="G843"/>
    </row>
    <row r="844" spans="7:7" x14ac:dyDescent="0.25">
      <c r="G844"/>
    </row>
    <row r="845" spans="7:7" x14ac:dyDescent="0.25">
      <c r="G845"/>
    </row>
    <row r="846" spans="7:7" x14ac:dyDescent="0.25">
      <c r="G846"/>
    </row>
    <row r="847" spans="7:7" x14ac:dyDescent="0.25">
      <c r="G847"/>
    </row>
    <row r="848" spans="7:7" x14ac:dyDescent="0.25">
      <c r="G848"/>
    </row>
    <row r="849" spans="7:7" x14ac:dyDescent="0.25">
      <c r="G849"/>
    </row>
    <row r="850" spans="7:7" x14ac:dyDescent="0.25">
      <c r="G850"/>
    </row>
    <row r="851" spans="7:7" x14ac:dyDescent="0.25">
      <c r="G851"/>
    </row>
    <row r="852" spans="7:7" x14ac:dyDescent="0.25">
      <c r="G852"/>
    </row>
    <row r="853" spans="7:7" x14ac:dyDescent="0.25">
      <c r="G853"/>
    </row>
    <row r="854" spans="7:7" x14ac:dyDescent="0.25">
      <c r="G854"/>
    </row>
    <row r="855" spans="7:7" x14ac:dyDescent="0.25">
      <c r="G855"/>
    </row>
    <row r="856" spans="7:7" x14ac:dyDescent="0.25">
      <c r="G856"/>
    </row>
    <row r="857" spans="7:7" x14ac:dyDescent="0.25">
      <c r="G857"/>
    </row>
    <row r="858" spans="7:7" x14ac:dyDescent="0.25">
      <c r="G858"/>
    </row>
    <row r="859" spans="7:7" x14ac:dyDescent="0.25">
      <c r="G859"/>
    </row>
    <row r="860" spans="7:7" x14ac:dyDescent="0.25">
      <c r="G860"/>
    </row>
    <row r="861" spans="7:7" x14ac:dyDescent="0.25">
      <c r="G861"/>
    </row>
    <row r="862" spans="7:7" x14ac:dyDescent="0.25">
      <c r="G862"/>
    </row>
    <row r="863" spans="7:7" x14ac:dyDescent="0.25">
      <c r="G863"/>
    </row>
    <row r="864" spans="7:7" x14ac:dyDescent="0.25">
      <c r="G864"/>
    </row>
    <row r="865" spans="7:7" x14ac:dyDescent="0.25">
      <c r="G865"/>
    </row>
    <row r="866" spans="7:7" x14ac:dyDescent="0.25">
      <c r="G866"/>
    </row>
    <row r="867" spans="7:7" x14ac:dyDescent="0.25">
      <c r="G867"/>
    </row>
    <row r="868" spans="7:7" x14ac:dyDescent="0.25">
      <c r="G868"/>
    </row>
    <row r="869" spans="7:7" x14ac:dyDescent="0.25">
      <c r="G869"/>
    </row>
    <row r="870" spans="7:7" x14ac:dyDescent="0.25">
      <c r="G870"/>
    </row>
    <row r="871" spans="7:7" x14ac:dyDescent="0.25">
      <c r="G871"/>
    </row>
    <row r="872" spans="7:7" x14ac:dyDescent="0.25">
      <c r="G872"/>
    </row>
    <row r="873" spans="7:7" x14ac:dyDescent="0.25">
      <c r="G873"/>
    </row>
    <row r="874" spans="7:7" x14ac:dyDescent="0.25">
      <c r="G874"/>
    </row>
    <row r="875" spans="7:7" x14ac:dyDescent="0.25">
      <c r="G875"/>
    </row>
    <row r="876" spans="7:7" x14ac:dyDescent="0.25">
      <c r="G876"/>
    </row>
    <row r="877" spans="7:7" x14ac:dyDescent="0.25">
      <c r="G877"/>
    </row>
    <row r="878" spans="7:7" x14ac:dyDescent="0.25">
      <c r="G878"/>
    </row>
    <row r="879" spans="7:7" x14ac:dyDescent="0.25">
      <c r="G879"/>
    </row>
    <row r="880" spans="7:7" x14ac:dyDescent="0.25">
      <c r="G880"/>
    </row>
    <row r="881" spans="7:7" x14ac:dyDescent="0.25">
      <c r="G881"/>
    </row>
    <row r="882" spans="7:7" x14ac:dyDescent="0.25">
      <c r="G882"/>
    </row>
    <row r="883" spans="7:7" x14ac:dyDescent="0.25">
      <c r="G883"/>
    </row>
    <row r="884" spans="7:7" x14ac:dyDescent="0.25">
      <c r="G884"/>
    </row>
    <row r="885" spans="7:7" x14ac:dyDescent="0.25">
      <c r="G885"/>
    </row>
    <row r="886" spans="7:7" x14ac:dyDescent="0.25">
      <c r="G886"/>
    </row>
    <row r="887" spans="7:7" x14ac:dyDescent="0.25">
      <c r="G887"/>
    </row>
    <row r="888" spans="7:7" x14ac:dyDescent="0.25">
      <c r="G888"/>
    </row>
    <row r="889" spans="7:7" x14ac:dyDescent="0.25">
      <c r="G889"/>
    </row>
    <row r="890" spans="7:7" x14ac:dyDescent="0.25">
      <c r="G890"/>
    </row>
    <row r="891" spans="7:7" x14ac:dyDescent="0.25">
      <c r="G891"/>
    </row>
    <row r="892" spans="7:7" x14ac:dyDescent="0.25">
      <c r="G892"/>
    </row>
    <row r="893" spans="7:7" x14ac:dyDescent="0.25">
      <c r="G893"/>
    </row>
    <row r="894" spans="7:7" x14ac:dyDescent="0.25">
      <c r="G894"/>
    </row>
    <row r="895" spans="7:7" x14ac:dyDescent="0.25">
      <c r="G895"/>
    </row>
    <row r="896" spans="7:7" x14ac:dyDescent="0.25">
      <c r="G896"/>
    </row>
    <row r="897" spans="7:7" x14ac:dyDescent="0.25">
      <c r="G897"/>
    </row>
    <row r="898" spans="7:7" x14ac:dyDescent="0.25">
      <c r="G898"/>
    </row>
    <row r="899" spans="7:7" x14ac:dyDescent="0.25">
      <c r="G899"/>
    </row>
    <row r="900" spans="7:7" x14ac:dyDescent="0.25">
      <c r="G900"/>
    </row>
    <row r="901" spans="7:7" x14ac:dyDescent="0.25">
      <c r="G901"/>
    </row>
    <row r="902" spans="7:7" x14ac:dyDescent="0.25">
      <c r="G902"/>
    </row>
    <row r="903" spans="7:7" x14ac:dyDescent="0.25">
      <c r="G903"/>
    </row>
    <row r="904" spans="7:7" x14ac:dyDescent="0.25">
      <c r="G904"/>
    </row>
    <row r="905" spans="7:7" x14ac:dyDescent="0.25">
      <c r="G905"/>
    </row>
    <row r="906" spans="7:7" x14ac:dyDescent="0.25">
      <c r="G906"/>
    </row>
    <row r="907" spans="7:7" x14ac:dyDescent="0.25">
      <c r="G907"/>
    </row>
    <row r="908" spans="7:7" x14ac:dyDescent="0.25">
      <c r="G908"/>
    </row>
    <row r="909" spans="7:7" x14ac:dyDescent="0.25">
      <c r="G909"/>
    </row>
    <row r="910" spans="7:7" x14ac:dyDescent="0.25">
      <c r="G910"/>
    </row>
    <row r="911" spans="7:7" x14ac:dyDescent="0.25">
      <c r="G911"/>
    </row>
    <row r="912" spans="7:7" x14ac:dyDescent="0.25">
      <c r="G912"/>
    </row>
    <row r="913" spans="7:7" x14ac:dyDescent="0.25">
      <c r="G913"/>
    </row>
    <row r="914" spans="7:7" x14ac:dyDescent="0.25">
      <c r="G914"/>
    </row>
    <row r="915" spans="7:7" x14ac:dyDescent="0.25">
      <c r="G915"/>
    </row>
    <row r="916" spans="7:7" x14ac:dyDescent="0.25">
      <c r="G916"/>
    </row>
    <row r="917" spans="7:7" x14ac:dyDescent="0.25">
      <c r="G917"/>
    </row>
    <row r="918" spans="7:7" x14ac:dyDescent="0.25">
      <c r="G918"/>
    </row>
    <row r="919" spans="7:7" x14ac:dyDescent="0.25">
      <c r="G919"/>
    </row>
    <row r="920" spans="7:7" x14ac:dyDescent="0.25">
      <c r="G920"/>
    </row>
    <row r="921" spans="7:7" x14ac:dyDescent="0.25">
      <c r="G921"/>
    </row>
    <row r="922" spans="7:7" x14ac:dyDescent="0.25">
      <c r="G922"/>
    </row>
    <row r="923" spans="7:7" x14ac:dyDescent="0.25">
      <c r="G923"/>
    </row>
    <row r="924" spans="7:7" x14ac:dyDescent="0.25">
      <c r="G924"/>
    </row>
    <row r="925" spans="7:7" x14ac:dyDescent="0.25">
      <c r="G925"/>
    </row>
    <row r="926" spans="7:7" x14ac:dyDescent="0.25">
      <c r="G926"/>
    </row>
    <row r="927" spans="7:7" x14ac:dyDescent="0.25">
      <c r="G927"/>
    </row>
    <row r="928" spans="7:7" x14ac:dyDescent="0.25">
      <c r="G928"/>
    </row>
    <row r="929" spans="7:7" x14ac:dyDescent="0.25">
      <c r="G929"/>
    </row>
    <row r="930" spans="7:7" x14ac:dyDescent="0.25">
      <c r="G930"/>
    </row>
    <row r="931" spans="7:7" x14ac:dyDescent="0.25">
      <c r="G931"/>
    </row>
    <row r="932" spans="7:7" x14ac:dyDescent="0.25">
      <c r="G932"/>
    </row>
    <row r="933" spans="7:7" x14ac:dyDescent="0.25">
      <c r="G933"/>
    </row>
    <row r="934" spans="7:7" x14ac:dyDescent="0.25">
      <c r="G934"/>
    </row>
    <row r="935" spans="7:7" x14ac:dyDescent="0.25">
      <c r="G935"/>
    </row>
    <row r="936" spans="7:7" x14ac:dyDescent="0.25">
      <c r="G936"/>
    </row>
    <row r="937" spans="7:7" x14ac:dyDescent="0.25">
      <c r="G937"/>
    </row>
    <row r="938" spans="7:7" x14ac:dyDescent="0.25">
      <c r="G938"/>
    </row>
    <row r="939" spans="7:7" x14ac:dyDescent="0.25">
      <c r="G939"/>
    </row>
    <row r="940" spans="7:7" x14ac:dyDescent="0.25">
      <c r="G940"/>
    </row>
    <row r="941" spans="7:7" x14ac:dyDescent="0.25">
      <c r="G941"/>
    </row>
    <row r="942" spans="7:7" x14ac:dyDescent="0.25">
      <c r="G942"/>
    </row>
    <row r="943" spans="7:7" x14ac:dyDescent="0.25">
      <c r="G943"/>
    </row>
    <row r="944" spans="7:7" x14ac:dyDescent="0.25">
      <c r="G944"/>
    </row>
    <row r="945" spans="7:7" x14ac:dyDescent="0.25">
      <c r="G945"/>
    </row>
    <row r="946" spans="7:7" x14ac:dyDescent="0.25">
      <c r="G946"/>
    </row>
    <row r="947" spans="7:7" x14ac:dyDescent="0.25">
      <c r="G947"/>
    </row>
    <row r="948" spans="7:7" x14ac:dyDescent="0.25">
      <c r="G948"/>
    </row>
    <row r="949" spans="7:7" x14ac:dyDescent="0.25">
      <c r="G949"/>
    </row>
    <row r="950" spans="7:7" x14ac:dyDescent="0.25">
      <c r="G950"/>
    </row>
    <row r="951" spans="7:7" x14ac:dyDescent="0.25">
      <c r="G951"/>
    </row>
    <row r="952" spans="7:7" x14ac:dyDescent="0.25">
      <c r="G952"/>
    </row>
    <row r="953" spans="7:7" x14ac:dyDescent="0.25">
      <c r="G953"/>
    </row>
    <row r="954" spans="7:7" x14ac:dyDescent="0.25">
      <c r="G954"/>
    </row>
    <row r="955" spans="7:7" x14ac:dyDescent="0.25">
      <c r="G955"/>
    </row>
    <row r="956" spans="7:7" x14ac:dyDescent="0.25">
      <c r="G956"/>
    </row>
    <row r="957" spans="7:7" x14ac:dyDescent="0.25">
      <c r="G957"/>
    </row>
    <row r="958" spans="7:7" x14ac:dyDescent="0.25">
      <c r="G958"/>
    </row>
    <row r="959" spans="7:7" x14ac:dyDescent="0.25">
      <c r="G959"/>
    </row>
    <row r="960" spans="7:7" x14ac:dyDescent="0.25">
      <c r="G960"/>
    </row>
    <row r="961" spans="7:7" x14ac:dyDescent="0.25">
      <c r="G961"/>
    </row>
    <row r="962" spans="7:7" x14ac:dyDescent="0.25">
      <c r="G962"/>
    </row>
    <row r="963" spans="7:7" x14ac:dyDescent="0.25">
      <c r="G963"/>
    </row>
    <row r="964" spans="7:7" x14ac:dyDescent="0.25">
      <c r="G964"/>
    </row>
    <row r="965" spans="7:7" x14ac:dyDescent="0.25">
      <c r="G965"/>
    </row>
    <row r="966" spans="7:7" x14ac:dyDescent="0.25">
      <c r="G966"/>
    </row>
    <row r="967" spans="7:7" x14ac:dyDescent="0.25">
      <c r="G967"/>
    </row>
    <row r="968" spans="7:7" x14ac:dyDescent="0.25">
      <c r="G968"/>
    </row>
    <row r="969" spans="7:7" x14ac:dyDescent="0.25">
      <c r="G969"/>
    </row>
    <row r="970" spans="7:7" x14ac:dyDescent="0.25">
      <c r="G970"/>
    </row>
    <row r="971" spans="7:7" x14ac:dyDescent="0.25">
      <c r="G971"/>
    </row>
    <row r="972" spans="7:7" x14ac:dyDescent="0.25">
      <c r="G972"/>
    </row>
    <row r="973" spans="7:7" x14ac:dyDescent="0.25">
      <c r="G973"/>
    </row>
    <row r="974" spans="7:7" x14ac:dyDescent="0.25">
      <c r="G974"/>
    </row>
    <row r="975" spans="7:7" x14ac:dyDescent="0.25">
      <c r="G975"/>
    </row>
    <row r="976" spans="7:7" x14ac:dyDescent="0.25">
      <c r="G976"/>
    </row>
    <row r="977" spans="7:7" x14ac:dyDescent="0.25">
      <c r="G977"/>
    </row>
    <row r="978" spans="7:7" x14ac:dyDescent="0.25">
      <c r="G978"/>
    </row>
    <row r="979" spans="7:7" x14ac:dyDescent="0.25">
      <c r="G979"/>
    </row>
    <row r="980" spans="7:7" x14ac:dyDescent="0.25">
      <c r="G980"/>
    </row>
    <row r="981" spans="7:7" x14ac:dyDescent="0.25">
      <c r="G981"/>
    </row>
    <row r="982" spans="7:7" x14ac:dyDescent="0.25">
      <c r="G982"/>
    </row>
    <row r="983" spans="7:7" x14ac:dyDescent="0.25">
      <c r="G983"/>
    </row>
    <row r="984" spans="7:7" x14ac:dyDescent="0.25">
      <c r="G984"/>
    </row>
    <row r="985" spans="7:7" x14ac:dyDescent="0.25">
      <c r="G985"/>
    </row>
    <row r="986" spans="7:7" x14ac:dyDescent="0.25">
      <c r="G986"/>
    </row>
    <row r="987" spans="7:7" x14ac:dyDescent="0.25">
      <c r="G987"/>
    </row>
    <row r="988" spans="7:7" x14ac:dyDescent="0.25">
      <c r="G988"/>
    </row>
    <row r="989" spans="7:7" x14ac:dyDescent="0.25">
      <c r="G989"/>
    </row>
    <row r="990" spans="7:7" x14ac:dyDescent="0.25">
      <c r="G990"/>
    </row>
    <row r="991" spans="7:7" x14ac:dyDescent="0.25">
      <c r="G991"/>
    </row>
    <row r="992" spans="7:7" x14ac:dyDescent="0.25">
      <c r="G992"/>
    </row>
    <row r="993" spans="7:7" x14ac:dyDescent="0.25">
      <c r="G993"/>
    </row>
    <row r="994" spans="7:7" x14ac:dyDescent="0.25">
      <c r="G994"/>
    </row>
    <row r="995" spans="7:7" x14ac:dyDescent="0.25">
      <c r="G995"/>
    </row>
    <row r="996" spans="7:7" x14ac:dyDescent="0.25">
      <c r="G996"/>
    </row>
    <row r="997" spans="7:7" x14ac:dyDescent="0.25">
      <c r="G997"/>
    </row>
    <row r="998" spans="7:7" x14ac:dyDescent="0.25">
      <c r="G998"/>
    </row>
    <row r="999" spans="7:7" x14ac:dyDescent="0.25">
      <c r="G999"/>
    </row>
    <row r="1000" spans="7:7" x14ac:dyDescent="0.25">
      <c r="G1000"/>
    </row>
    <row r="1001" spans="7:7" x14ac:dyDescent="0.25">
      <c r="G1001"/>
    </row>
    <row r="1002" spans="7:7" x14ac:dyDescent="0.25">
      <c r="G1002"/>
    </row>
    <row r="1003" spans="7:7" x14ac:dyDescent="0.25">
      <c r="G1003"/>
    </row>
    <row r="1004" spans="7:7" x14ac:dyDescent="0.25">
      <c r="G1004"/>
    </row>
    <row r="1005" spans="7:7" x14ac:dyDescent="0.25">
      <c r="G1005"/>
    </row>
    <row r="1006" spans="7:7" x14ac:dyDescent="0.25">
      <c r="G1006"/>
    </row>
    <row r="1007" spans="7:7" x14ac:dyDescent="0.25">
      <c r="G1007"/>
    </row>
    <row r="1008" spans="7:7" x14ac:dyDescent="0.25">
      <c r="G1008"/>
    </row>
    <row r="1009" spans="7:7" x14ac:dyDescent="0.25">
      <c r="G1009"/>
    </row>
    <row r="1010" spans="7:7" x14ac:dyDescent="0.25">
      <c r="G1010"/>
    </row>
    <row r="1011" spans="7:7" x14ac:dyDescent="0.25">
      <c r="G1011"/>
    </row>
    <row r="1012" spans="7:7" x14ac:dyDescent="0.25">
      <c r="G1012"/>
    </row>
    <row r="1013" spans="7:7" x14ac:dyDescent="0.25">
      <c r="G1013"/>
    </row>
    <row r="1014" spans="7:7" x14ac:dyDescent="0.25">
      <c r="G1014"/>
    </row>
    <row r="1015" spans="7:7" x14ac:dyDescent="0.25">
      <c r="G1015"/>
    </row>
    <row r="1016" spans="7:7" x14ac:dyDescent="0.25">
      <c r="G1016"/>
    </row>
    <row r="1017" spans="7:7" x14ac:dyDescent="0.25">
      <c r="G1017"/>
    </row>
    <row r="1018" spans="7:7" x14ac:dyDescent="0.25">
      <c r="G1018"/>
    </row>
    <row r="1019" spans="7:7" x14ac:dyDescent="0.25">
      <c r="G1019"/>
    </row>
    <row r="1020" spans="7:7" x14ac:dyDescent="0.25">
      <c r="G1020"/>
    </row>
    <row r="1021" spans="7:7" x14ac:dyDescent="0.25">
      <c r="G1021"/>
    </row>
    <row r="1022" spans="7:7" x14ac:dyDescent="0.25">
      <c r="G1022"/>
    </row>
    <row r="1023" spans="7:7" x14ac:dyDescent="0.25">
      <c r="G1023"/>
    </row>
    <row r="1024" spans="7:7" x14ac:dyDescent="0.25">
      <c r="G1024"/>
    </row>
    <row r="1025" spans="7:7" x14ac:dyDescent="0.25">
      <c r="G1025"/>
    </row>
    <row r="1026" spans="7:7" x14ac:dyDescent="0.25">
      <c r="G1026"/>
    </row>
    <row r="1027" spans="7:7" x14ac:dyDescent="0.25">
      <c r="G1027"/>
    </row>
    <row r="1028" spans="7:7" x14ac:dyDescent="0.25">
      <c r="G1028"/>
    </row>
    <row r="1029" spans="7:7" x14ac:dyDescent="0.25">
      <c r="G1029"/>
    </row>
    <row r="1030" spans="7:7" x14ac:dyDescent="0.25">
      <c r="G1030"/>
    </row>
    <row r="1031" spans="7:7" x14ac:dyDescent="0.25">
      <c r="G1031"/>
    </row>
    <row r="1032" spans="7:7" x14ac:dyDescent="0.25">
      <c r="G1032"/>
    </row>
    <row r="1033" spans="7:7" x14ac:dyDescent="0.25">
      <c r="G1033"/>
    </row>
    <row r="1034" spans="7:7" x14ac:dyDescent="0.25">
      <c r="G1034"/>
    </row>
    <row r="1035" spans="7:7" x14ac:dyDescent="0.25">
      <c r="G1035"/>
    </row>
    <row r="1036" spans="7:7" x14ac:dyDescent="0.25">
      <c r="G1036"/>
    </row>
    <row r="1037" spans="7:7" x14ac:dyDescent="0.25">
      <c r="G1037"/>
    </row>
    <row r="1038" spans="7:7" x14ac:dyDescent="0.25">
      <c r="G1038"/>
    </row>
    <row r="1039" spans="7:7" x14ac:dyDescent="0.25">
      <c r="G1039"/>
    </row>
    <row r="1040" spans="7:7" x14ac:dyDescent="0.25">
      <c r="G1040"/>
    </row>
    <row r="1041" spans="7:7" x14ac:dyDescent="0.25">
      <c r="G1041"/>
    </row>
    <row r="1042" spans="7:7" x14ac:dyDescent="0.25">
      <c r="G1042"/>
    </row>
    <row r="1043" spans="7:7" x14ac:dyDescent="0.25">
      <c r="G1043"/>
    </row>
    <row r="1044" spans="7:7" x14ac:dyDescent="0.25">
      <c r="G1044"/>
    </row>
    <row r="1045" spans="7:7" x14ac:dyDescent="0.25">
      <c r="G1045"/>
    </row>
    <row r="1046" spans="7:7" x14ac:dyDescent="0.25">
      <c r="G1046"/>
    </row>
    <row r="1047" spans="7:7" x14ac:dyDescent="0.25">
      <c r="G1047"/>
    </row>
    <row r="1048" spans="7:7" x14ac:dyDescent="0.25">
      <c r="G1048"/>
    </row>
    <row r="1049" spans="7:7" x14ac:dyDescent="0.25">
      <c r="G1049"/>
    </row>
    <row r="1050" spans="7:7" x14ac:dyDescent="0.25">
      <c r="G1050"/>
    </row>
    <row r="1051" spans="7:7" x14ac:dyDescent="0.25">
      <c r="G1051"/>
    </row>
    <row r="1052" spans="7:7" x14ac:dyDescent="0.25">
      <c r="G1052"/>
    </row>
    <row r="1053" spans="7:7" x14ac:dyDescent="0.25">
      <c r="G1053"/>
    </row>
    <row r="1054" spans="7:7" x14ac:dyDescent="0.25">
      <c r="G1054"/>
    </row>
    <row r="1055" spans="7:7" x14ac:dyDescent="0.25">
      <c r="G1055"/>
    </row>
    <row r="1056" spans="7:7" x14ac:dyDescent="0.25">
      <c r="G1056"/>
    </row>
    <row r="1057" spans="7:7" x14ac:dyDescent="0.25">
      <c r="G1057"/>
    </row>
    <row r="1058" spans="7:7" x14ac:dyDescent="0.25">
      <c r="G1058"/>
    </row>
    <row r="1059" spans="7:7" x14ac:dyDescent="0.25">
      <c r="G1059"/>
    </row>
    <row r="1060" spans="7:7" x14ac:dyDescent="0.25">
      <c r="G1060"/>
    </row>
    <row r="1061" spans="7:7" x14ac:dyDescent="0.25">
      <c r="G1061"/>
    </row>
    <row r="1062" spans="7:7" x14ac:dyDescent="0.25">
      <c r="G1062"/>
    </row>
    <row r="1063" spans="7:7" x14ac:dyDescent="0.25">
      <c r="G1063"/>
    </row>
    <row r="1064" spans="7:7" x14ac:dyDescent="0.25">
      <c r="G1064"/>
    </row>
    <row r="1065" spans="7:7" x14ac:dyDescent="0.25">
      <c r="G1065"/>
    </row>
    <row r="1066" spans="7:7" x14ac:dyDescent="0.25">
      <c r="G1066"/>
    </row>
    <row r="1067" spans="7:7" x14ac:dyDescent="0.25">
      <c r="G1067"/>
    </row>
    <row r="1068" spans="7:7" x14ac:dyDescent="0.25">
      <c r="G1068"/>
    </row>
    <row r="1069" spans="7:7" x14ac:dyDescent="0.25">
      <c r="G1069"/>
    </row>
    <row r="1070" spans="7:7" x14ac:dyDescent="0.25">
      <c r="G1070"/>
    </row>
    <row r="1071" spans="7:7" x14ac:dyDescent="0.25">
      <c r="G1071"/>
    </row>
    <row r="1072" spans="7:7" x14ac:dyDescent="0.25">
      <c r="G1072"/>
    </row>
    <row r="1073" spans="7:7" x14ac:dyDescent="0.25">
      <c r="G1073"/>
    </row>
    <row r="1074" spans="7:7" x14ac:dyDescent="0.25">
      <c r="G1074"/>
    </row>
    <row r="1075" spans="7:7" x14ac:dyDescent="0.25">
      <c r="G1075"/>
    </row>
    <row r="1076" spans="7:7" x14ac:dyDescent="0.25">
      <c r="G1076"/>
    </row>
    <row r="1077" spans="7:7" x14ac:dyDescent="0.25">
      <c r="G1077"/>
    </row>
    <row r="1078" spans="7:7" x14ac:dyDescent="0.25">
      <c r="G1078"/>
    </row>
    <row r="1079" spans="7:7" x14ac:dyDescent="0.25">
      <c r="G1079"/>
    </row>
    <row r="1080" spans="7:7" x14ac:dyDescent="0.25">
      <c r="G1080"/>
    </row>
    <row r="1081" spans="7:7" x14ac:dyDescent="0.25">
      <c r="G1081"/>
    </row>
    <row r="1082" spans="7:7" x14ac:dyDescent="0.25">
      <c r="G1082"/>
    </row>
    <row r="1083" spans="7:7" x14ac:dyDescent="0.25">
      <c r="G1083"/>
    </row>
    <row r="1084" spans="7:7" x14ac:dyDescent="0.25">
      <c r="G1084"/>
    </row>
    <row r="1085" spans="7:7" x14ac:dyDescent="0.25">
      <c r="G1085"/>
    </row>
    <row r="1086" spans="7:7" x14ac:dyDescent="0.25">
      <c r="G1086"/>
    </row>
    <row r="1087" spans="7:7" x14ac:dyDescent="0.25">
      <c r="G1087"/>
    </row>
    <row r="1088" spans="7:7" x14ac:dyDescent="0.25">
      <c r="G1088"/>
    </row>
    <row r="1089" spans="7:7" x14ac:dyDescent="0.25">
      <c r="G1089"/>
    </row>
    <row r="1090" spans="7:7" x14ac:dyDescent="0.25">
      <c r="G1090"/>
    </row>
    <row r="1091" spans="7:7" x14ac:dyDescent="0.25">
      <c r="G1091"/>
    </row>
    <row r="1092" spans="7:7" x14ac:dyDescent="0.25">
      <c r="G1092"/>
    </row>
    <row r="1093" spans="7:7" x14ac:dyDescent="0.25">
      <c r="G1093"/>
    </row>
    <row r="1094" spans="7:7" x14ac:dyDescent="0.25">
      <c r="G1094"/>
    </row>
    <row r="1095" spans="7:7" x14ac:dyDescent="0.25">
      <c r="G1095"/>
    </row>
    <row r="1096" spans="7:7" x14ac:dyDescent="0.25">
      <c r="G1096"/>
    </row>
    <row r="1097" spans="7:7" x14ac:dyDescent="0.25">
      <c r="G1097"/>
    </row>
    <row r="1098" spans="7:7" x14ac:dyDescent="0.25">
      <c r="G1098"/>
    </row>
    <row r="1099" spans="7:7" x14ac:dyDescent="0.25">
      <c r="G1099"/>
    </row>
    <row r="1100" spans="7:7" x14ac:dyDescent="0.25">
      <c r="G1100"/>
    </row>
    <row r="1101" spans="7:7" x14ac:dyDescent="0.25">
      <c r="G1101"/>
    </row>
    <row r="1102" spans="7:7" x14ac:dyDescent="0.25">
      <c r="G1102"/>
    </row>
    <row r="1103" spans="7:7" x14ac:dyDescent="0.25">
      <c r="G1103"/>
    </row>
    <row r="1104" spans="7:7" x14ac:dyDescent="0.25">
      <c r="G1104"/>
    </row>
    <row r="1105" spans="7:7" x14ac:dyDescent="0.25">
      <c r="G1105"/>
    </row>
    <row r="1106" spans="7:7" x14ac:dyDescent="0.25">
      <c r="G1106"/>
    </row>
    <row r="1107" spans="7:7" x14ac:dyDescent="0.25">
      <c r="G1107"/>
    </row>
    <row r="1108" spans="7:7" x14ac:dyDescent="0.25">
      <c r="G1108"/>
    </row>
    <row r="1109" spans="7:7" x14ac:dyDescent="0.25">
      <c r="G1109"/>
    </row>
    <row r="1110" spans="7:7" x14ac:dyDescent="0.25">
      <c r="G1110"/>
    </row>
    <row r="1111" spans="7:7" x14ac:dyDescent="0.25">
      <c r="G1111"/>
    </row>
    <row r="1112" spans="7:7" x14ac:dyDescent="0.25">
      <c r="G1112"/>
    </row>
    <row r="1113" spans="7:7" x14ac:dyDescent="0.25">
      <c r="G1113"/>
    </row>
    <row r="1114" spans="7:7" x14ac:dyDescent="0.25">
      <c r="G1114"/>
    </row>
    <row r="1115" spans="7:7" x14ac:dyDescent="0.25">
      <c r="G1115"/>
    </row>
    <row r="1116" spans="7:7" x14ac:dyDescent="0.25">
      <c r="G1116"/>
    </row>
    <row r="1117" spans="7:7" x14ac:dyDescent="0.25">
      <c r="G1117"/>
    </row>
    <row r="1118" spans="7:7" x14ac:dyDescent="0.25">
      <c r="G1118"/>
    </row>
    <row r="1119" spans="7:7" x14ac:dyDescent="0.25">
      <c r="G1119"/>
    </row>
    <row r="1120" spans="7:7" x14ac:dyDescent="0.25">
      <c r="G1120"/>
    </row>
    <row r="1121" spans="7:7" x14ac:dyDescent="0.25">
      <c r="G1121"/>
    </row>
    <row r="1122" spans="7:7" x14ac:dyDescent="0.25">
      <c r="G1122"/>
    </row>
    <row r="1123" spans="7:7" x14ac:dyDescent="0.25">
      <c r="G1123"/>
    </row>
    <row r="1124" spans="7:7" x14ac:dyDescent="0.25">
      <c r="G1124"/>
    </row>
    <row r="1125" spans="7:7" x14ac:dyDescent="0.25">
      <c r="G1125"/>
    </row>
    <row r="1126" spans="7:7" x14ac:dyDescent="0.25">
      <c r="G1126"/>
    </row>
    <row r="1127" spans="7:7" x14ac:dyDescent="0.25">
      <c r="G1127"/>
    </row>
    <row r="1128" spans="7:7" x14ac:dyDescent="0.25">
      <c r="G1128"/>
    </row>
    <row r="1129" spans="7:7" x14ac:dyDescent="0.25">
      <c r="G1129"/>
    </row>
    <row r="1130" spans="7:7" x14ac:dyDescent="0.25">
      <c r="G1130"/>
    </row>
    <row r="1131" spans="7:7" x14ac:dyDescent="0.25">
      <c r="G1131"/>
    </row>
    <row r="1132" spans="7:7" x14ac:dyDescent="0.25">
      <c r="G1132"/>
    </row>
    <row r="1133" spans="7:7" x14ac:dyDescent="0.25">
      <c r="G1133"/>
    </row>
    <row r="1134" spans="7:7" x14ac:dyDescent="0.25">
      <c r="G1134"/>
    </row>
    <row r="1135" spans="7:7" x14ac:dyDescent="0.25">
      <c r="G1135"/>
    </row>
    <row r="1136" spans="7:7" x14ac:dyDescent="0.25">
      <c r="G1136"/>
    </row>
    <row r="1137" spans="7:7" x14ac:dyDescent="0.25">
      <c r="G1137"/>
    </row>
    <row r="1138" spans="7:7" x14ac:dyDescent="0.25">
      <c r="G1138"/>
    </row>
    <row r="1139" spans="7:7" x14ac:dyDescent="0.25">
      <c r="G1139"/>
    </row>
    <row r="1140" spans="7:7" x14ac:dyDescent="0.25">
      <c r="G1140"/>
    </row>
    <row r="1141" spans="7:7" x14ac:dyDescent="0.25">
      <c r="G1141"/>
    </row>
    <row r="1142" spans="7:7" x14ac:dyDescent="0.25">
      <c r="G1142"/>
    </row>
    <row r="1143" spans="7:7" x14ac:dyDescent="0.25">
      <c r="G1143"/>
    </row>
    <row r="1144" spans="7:7" x14ac:dyDescent="0.25">
      <c r="G1144"/>
    </row>
    <row r="1145" spans="7:7" x14ac:dyDescent="0.25">
      <c r="G1145"/>
    </row>
    <row r="1146" spans="7:7" x14ac:dyDescent="0.25">
      <c r="G1146"/>
    </row>
    <row r="1147" spans="7:7" x14ac:dyDescent="0.25">
      <c r="G1147"/>
    </row>
    <row r="1148" spans="7:7" x14ac:dyDescent="0.25">
      <c r="G1148"/>
    </row>
    <row r="1149" spans="7:7" x14ac:dyDescent="0.25">
      <c r="G1149"/>
    </row>
    <row r="1150" spans="7:7" x14ac:dyDescent="0.25">
      <c r="G1150"/>
    </row>
    <row r="1151" spans="7:7" x14ac:dyDescent="0.25">
      <c r="G1151"/>
    </row>
    <row r="1152" spans="7:7" x14ac:dyDescent="0.25">
      <c r="G1152"/>
    </row>
    <row r="1153" spans="7:7" x14ac:dyDescent="0.25">
      <c r="G1153"/>
    </row>
    <row r="1154" spans="7:7" x14ac:dyDescent="0.25">
      <c r="G1154"/>
    </row>
    <row r="1155" spans="7:7" x14ac:dyDescent="0.25">
      <c r="G1155"/>
    </row>
    <row r="1156" spans="7:7" x14ac:dyDescent="0.25">
      <c r="G1156"/>
    </row>
    <row r="1157" spans="7:7" x14ac:dyDescent="0.25">
      <c r="G1157"/>
    </row>
    <row r="1158" spans="7:7" x14ac:dyDescent="0.25">
      <c r="G1158"/>
    </row>
    <row r="1159" spans="7:7" x14ac:dyDescent="0.25">
      <c r="G1159"/>
    </row>
    <row r="1160" spans="7:7" x14ac:dyDescent="0.25">
      <c r="G1160"/>
    </row>
    <row r="1161" spans="7:7" x14ac:dyDescent="0.25">
      <c r="G1161"/>
    </row>
    <row r="1162" spans="7:7" x14ac:dyDescent="0.25">
      <c r="G1162"/>
    </row>
    <row r="1163" spans="7:7" x14ac:dyDescent="0.25">
      <c r="G1163"/>
    </row>
    <row r="1164" spans="7:7" x14ac:dyDescent="0.25">
      <c r="G1164"/>
    </row>
    <row r="1165" spans="7:7" x14ac:dyDescent="0.25">
      <c r="G1165"/>
    </row>
    <row r="1166" spans="7:7" x14ac:dyDescent="0.25">
      <c r="G1166"/>
    </row>
    <row r="1167" spans="7:7" x14ac:dyDescent="0.25">
      <c r="G1167"/>
    </row>
    <row r="1168" spans="7:7" x14ac:dyDescent="0.25">
      <c r="G1168"/>
    </row>
    <row r="1169" spans="7:7" x14ac:dyDescent="0.25">
      <c r="G1169"/>
    </row>
    <row r="1170" spans="7:7" x14ac:dyDescent="0.25">
      <c r="G1170"/>
    </row>
    <row r="1171" spans="7:7" x14ac:dyDescent="0.25">
      <c r="G1171"/>
    </row>
    <row r="1172" spans="7:7" x14ac:dyDescent="0.25">
      <c r="G1172"/>
    </row>
    <row r="1173" spans="7:7" x14ac:dyDescent="0.25">
      <c r="G1173"/>
    </row>
    <row r="1174" spans="7:7" x14ac:dyDescent="0.25">
      <c r="G1174"/>
    </row>
    <row r="1175" spans="7:7" x14ac:dyDescent="0.25">
      <c r="G1175"/>
    </row>
    <row r="1176" spans="7:7" x14ac:dyDescent="0.25">
      <c r="G1176"/>
    </row>
    <row r="1177" spans="7:7" x14ac:dyDescent="0.25">
      <c r="G1177"/>
    </row>
    <row r="1178" spans="7:7" x14ac:dyDescent="0.25">
      <c r="G1178"/>
    </row>
    <row r="1179" spans="7:7" x14ac:dyDescent="0.25">
      <c r="G1179"/>
    </row>
    <row r="1180" spans="7:7" x14ac:dyDescent="0.25">
      <c r="G1180"/>
    </row>
    <row r="1181" spans="7:7" x14ac:dyDescent="0.25">
      <c r="G1181"/>
    </row>
    <row r="1182" spans="7:7" x14ac:dyDescent="0.25">
      <c r="G1182"/>
    </row>
    <row r="1183" spans="7:7" x14ac:dyDescent="0.25">
      <c r="G1183"/>
    </row>
    <row r="1184" spans="7:7" x14ac:dyDescent="0.25">
      <c r="G1184"/>
    </row>
    <row r="1185" spans="7:7" x14ac:dyDescent="0.25">
      <c r="G1185"/>
    </row>
    <row r="1186" spans="7:7" x14ac:dyDescent="0.25">
      <c r="G1186"/>
    </row>
    <row r="1187" spans="7:7" x14ac:dyDescent="0.25">
      <c r="G1187"/>
    </row>
    <row r="1188" spans="7:7" x14ac:dyDescent="0.25">
      <c r="G1188"/>
    </row>
    <row r="1189" spans="7:7" x14ac:dyDescent="0.25">
      <c r="G1189"/>
    </row>
    <row r="1190" spans="7:7" x14ac:dyDescent="0.25">
      <c r="G1190"/>
    </row>
    <row r="1191" spans="7:7" x14ac:dyDescent="0.25">
      <c r="G1191"/>
    </row>
    <row r="1192" spans="7:7" x14ac:dyDescent="0.25">
      <c r="G1192"/>
    </row>
    <row r="1193" spans="7:7" x14ac:dyDescent="0.25">
      <c r="G1193"/>
    </row>
    <row r="1194" spans="7:7" x14ac:dyDescent="0.25">
      <c r="G1194"/>
    </row>
    <row r="1195" spans="7:7" x14ac:dyDescent="0.25">
      <c r="G1195"/>
    </row>
    <row r="1196" spans="7:7" x14ac:dyDescent="0.25">
      <c r="G1196"/>
    </row>
    <row r="1197" spans="7:7" x14ac:dyDescent="0.25">
      <c r="G1197"/>
    </row>
    <row r="1198" spans="7:7" x14ac:dyDescent="0.25">
      <c r="G1198"/>
    </row>
    <row r="1199" spans="7:7" x14ac:dyDescent="0.25">
      <c r="G1199"/>
    </row>
    <row r="1200" spans="7:7" x14ac:dyDescent="0.25">
      <c r="G1200"/>
    </row>
    <row r="1201" spans="7:7" x14ac:dyDescent="0.25">
      <c r="G1201"/>
    </row>
    <row r="1202" spans="7:7" x14ac:dyDescent="0.25">
      <c r="G1202"/>
    </row>
    <row r="1203" spans="7:7" x14ac:dyDescent="0.25">
      <c r="G1203"/>
    </row>
    <row r="1204" spans="7:7" x14ac:dyDescent="0.25">
      <c r="G1204"/>
    </row>
    <row r="1205" spans="7:7" x14ac:dyDescent="0.25">
      <c r="G1205"/>
    </row>
    <row r="1206" spans="7:7" x14ac:dyDescent="0.25">
      <c r="G1206"/>
    </row>
    <row r="1207" spans="7:7" x14ac:dyDescent="0.25">
      <c r="G1207"/>
    </row>
    <row r="1208" spans="7:7" x14ac:dyDescent="0.25">
      <c r="G1208"/>
    </row>
    <row r="1209" spans="7:7" x14ac:dyDescent="0.25">
      <c r="G1209"/>
    </row>
    <row r="1210" spans="7:7" x14ac:dyDescent="0.25">
      <c r="G1210"/>
    </row>
    <row r="1211" spans="7:7" x14ac:dyDescent="0.25">
      <c r="G1211"/>
    </row>
    <row r="1212" spans="7:7" x14ac:dyDescent="0.25">
      <c r="G1212"/>
    </row>
    <row r="1213" spans="7:7" x14ac:dyDescent="0.25">
      <c r="G1213"/>
    </row>
    <row r="1214" spans="7:7" x14ac:dyDescent="0.25">
      <c r="G1214"/>
    </row>
    <row r="1215" spans="7:7" x14ac:dyDescent="0.25">
      <c r="G1215"/>
    </row>
    <row r="1216" spans="7:7" x14ac:dyDescent="0.25">
      <c r="G1216"/>
    </row>
    <row r="1217" spans="7:7" x14ac:dyDescent="0.25">
      <c r="G1217"/>
    </row>
    <row r="1218" spans="7:7" x14ac:dyDescent="0.25">
      <c r="G1218"/>
    </row>
    <row r="1219" spans="7:7" x14ac:dyDescent="0.25">
      <c r="G1219"/>
    </row>
    <row r="1220" spans="7:7" x14ac:dyDescent="0.25">
      <c r="G1220"/>
    </row>
    <row r="1221" spans="7:7" x14ac:dyDescent="0.25">
      <c r="G1221"/>
    </row>
    <row r="1222" spans="7:7" x14ac:dyDescent="0.25">
      <c r="G1222"/>
    </row>
    <row r="1223" spans="7:7" x14ac:dyDescent="0.25">
      <c r="G1223"/>
    </row>
    <row r="1224" spans="7:7" x14ac:dyDescent="0.25">
      <c r="G1224"/>
    </row>
    <row r="1225" spans="7:7" x14ac:dyDescent="0.25">
      <c r="G1225"/>
    </row>
    <row r="1226" spans="7:7" x14ac:dyDescent="0.25">
      <c r="G1226"/>
    </row>
    <row r="1227" spans="7:7" x14ac:dyDescent="0.25">
      <c r="G1227"/>
    </row>
    <row r="1228" spans="7:7" x14ac:dyDescent="0.25">
      <c r="G1228"/>
    </row>
    <row r="1229" spans="7:7" x14ac:dyDescent="0.25">
      <c r="G1229"/>
    </row>
    <row r="1230" spans="7:7" x14ac:dyDescent="0.25">
      <c r="G1230"/>
    </row>
    <row r="1231" spans="7:7" x14ac:dyDescent="0.25">
      <c r="G1231"/>
    </row>
    <row r="1232" spans="7:7" x14ac:dyDescent="0.25">
      <c r="G1232"/>
    </row>
    <row r="1233" spans="7:7" x14ac:dyDescent="0.25">
      <c r="G1233"/>
    </row>
    <row r="1234" spans="7:7" x14ac:dyDescent="0.25">
      <c r="G1234"/>
    </row>
    <row r="1235" spans="7:7" x14ac:dyDescent="0.25">
      <c r="G1235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55E20-994C-41D5-998E-EADA920E0CDC}">
  <dimension ref="A1:E28"/>
  <sheetViews>
    <sheetView workbookViewId="0">
      <selection activeCell="D18" sqref="D18"/>
    </sheetView>
  </sheetViews>
  <sheetFormatPr defaultRowHeight="15" x14ac:dyDescent="0.25"/>
  <cols>
    <col min="1" max="1" width="86.140625" bestFit="1" customWidth="1"/>
    <col min="2" max="2" width="50.28515625" bestFit="1" customWidth="1"/>
    <col min="3" max="3" width="29.28515625" bestFit="1" customWidth="1"/>
    <col min="4" max="4" width="11.28515625" bestFit="1" customWidth="1"/>
    <col min="5" max="5" width="5.85546875" bestFit="1" customWidth="1"/>
  </cols>
  <sheetData>
    <row r="1" spans="1:4" x14ac:dyDescent="0.25">
      <c r="A1" t="s">
        <v>2705</v>
      </c>
    </row>
    <row r="2" spans="1:4" x14ac:dyDescent="0.25">
      <c r="A2" t="s">
        <v>2706</v>
      </c>
    </row>
    <row r="3" spans="1:4" x14ac:dyDescent="0.25">
      <c r="A3" t="s">
        <v>2707</v>
      </c>
    </row>
    <row r="4" spans="1:4" x14ac:dyDescent="0.25">
      <c r="A4" t="s">
        <v>2708</v>
      </c>
    </row>
    <row r="5" spans="1:4" x14ac:dyDescent="0.25">
      <c r="A5" t="s">
        <v>2709</v>
      </c>
    </row>
    <row r="6" spans="1:4" x14ac:dyDescent="0.25">
      <c r="A6" t="s">
        <v>2710</v>
      </c>
    </row>
    <row r="7" spans="1:4" x14ac:dyDescent="0.25">
      <c r="A7" t="s">
        <v>2711</v>
      </c>
    </row>
    <row r="8" spans="1:4" x14ac:dyDescent="0.25">
      <c r="A8" t="s">
        <v>2712</v>
      </c>
    </row>
    <row r="9" spans="1:4" x14ac:dyDescent="0.25">
      <c r="A9" t="s">
        <v>2713</v>
      </c>
    </row>
    <row r="11" spans="1:4" x14ac:dyDescent="0.25">
      <c r="A11" t="s">
        <v>2714</v>
      </c>
      <c r="B11">
        <v>17000</v>
      </c>
    </row>
    <row r="12" spans="1:4" x14ac:dyDescent="0.25">
      <c r="A12" t="s">
        <v>2715</v>
      </c>
      <c r="B12" t="s">
        <v>18</v>
      </c>
    </row>
    <row r="13" spans="1:4" x14ac:dyDescent="0.25">
      <c r="A13" t="s">
        <v>4</v>
      </c>
      <c r="B13" t="s">
        <v>21</v>
      </c>
    </row>
    <row r="14" spans="1:4" x14ac:dyDescent="0.25">
      <c r="A14" t="s">
        <v>2716</v>
      </c>
      <c r="B14" t="s">
        <v>2717</v>
      </c>
    </row>
    <row r="15" spans="1:4" x14ac:dyDescent="0.25">
      <c r="A15" t="s">
        <v>2718</v>
      </c>
      <c r="B15">
        <v>94102</v>
      </c>
      <c r="D15" t="s">
        <v>2719</v>
      </c>
    </row>
    <row r="16" spans="1:4" x14ac:dyDescent="0.25">
      <c r="A16" t="s">
        <v>2720</v>
      </c>
      <c r="B16" s="2">
        <v>45981</v>
      </c>
      <c r="C16" s="3" t="s">
        <v>2721</v>
      </c>
    </row>
    <row r="17" spans="1:5" x14ac:dyDescent="0.25">
      <c r="A17" t="s">
        <v>2722</v>
      </c>
      <c r="B17" s="4">
        <f>SUMIFS(global_inventory_export11182025!$J$2:$J$1235,global_inventory_export11182025!$B$2:$B$1235,"ZavaCore Field Elite Tee",global_inventory_export11182025!$E$2:$E$1235,"Black",global_inventory_export11182025!$F$2:$F$1235,"STL")</f>
        <v>11838</v>
      </c>
      <c r="C17" s="4">
        <f>_xlfn.LET(_xlpm.STL,B17,_xlpm.DAL,B18,_xlpm.WOO,B19,_xlpm.SAN,B20,_xlpm.X,MAX(0,_xlpm.WOO-7999),_xlpm.SANADD,MIN(_xlpm.X,MAX(0,1000-_xlpm.SAN)),_xlpm.STL)</f>
        <v>11838</v>
      </c>
      <c r="D17" s="4">
        <f>$E$23</f>
        <v>9920</v>
      </c>
    </row>
    <row r="18" spans="1:5" x14ac:dyDescent="0.25">
      <c r="A18" t="s">
        <v>2723</v>
      </c>
      <c r="B18" s="4">
        <f>SUMIFS(global_inventory_export11182025!$J$2:$J$1235,global_inventory_export11182025!$B$2:$B$1235,"ZavaCore Field Elite Tee",global_inventory_export11182025!$E$2:$E$1235,"Black",global_inventory_export11182025!$F$2:$F$1235,"DAL")</f>
        <v>5011</v>
      </c>
      <c r="C18" s="4">
        <f>_xlfn.LET(_xlpm.STL,B17,_xlpm.DAL,B18,_xlpm.WOO,B19,_xlpm.SAN,B20,_xlpm.X,MAX(0,_xlpm.WOO-7999),_xlpm.SANADD,MIN(_xlpm.X,MAX(0,1000-_xlpm.SAN)),_xlpm.DAL+(_xlpm.X-_xlpm.SANADD))</f>
        <v>7254</v>
      </c>
      <c r="D18" s="4">
        <f>$E$26</f>
        <v>1277</v>
      </c>
    </row>
    <row r="19" spans="1:5" x14ac:dyDescent="0.25">
      <c r="A19" t="s">
        <v>2724</v>
      </c>
      <c r="B19" s="4">
        <f>SUMIFS(global_inventory_export11182025!$J$2:$J$1235,global_inventory_export11182025!$B$2:$B$1235,"ZavaCore Field Elite Tee",global_inventory_export11182025!$E$2:$E$1235,"Black",global_inventory_export11182025!$F$2:$F$1235,"WOO")</f>
        <v>11224</v>
      </c>
      <c r="C19" s="4">
        <f>_xlfn.LET(_xlpm.STL,B17,_xlpm.DAL,B18,_xlpm.WOO,B19,_xlpm.SAN,B20,_xlpm.X,MAX(0,_xlpm.WOO-7999),_xlpm.SANADD,MIN(_xlpm.X,MAX(0,1000-_xlpm.SAN)),_xlpm.WOO-_xlpm.X)</f>
        <v>7999</v>
      </c>
      <c r="D19" s="4">
        <f>$E$28</f>
        <v>4803</v>
      </c>
    </row>
    <row r="20" spans="1:5" x14ac:dyDescent="0.25">
      <c r="A20" t="s">
        <v>2725</v>
      </c>
      <c r="B20" s="4">
        <f>SUMIFS(global_inventory_export11182025!$J$2:$J$1235,global_inventory_export11182025!$B$2:$B$1235,"ZavaCore Field Elite Tee",global_inventory_export11182025!$E$2:$E$1235,"Black",global_inventory_export11182025!$F$2:$F$1235,"SAN")</f>
        <v>18</v>
      </c>
      <c r="C20" s="4">
        <f>_xlfn.LET(_xlpm.STL,B17,_xlpm.DAL,B18,_xlpm.WOO,B19,_xlpm.SAN,B20,_xlpm.X,MAX(0,_xlpm.WOO-7999),_xlpm.SANADD,MIN(_xlpm.X,MAX(0,1000-_xlpm.SAN)),_xlpm.SAN+_xlpm.SANADD)</f>
        <v>1000</v>
      </c>
      <c r="D20" s="4">
        <f>$E$20</f>
        <v>1000</v>
      </c>
      <c r="E20" s="4">
        <f>MIN($C$20,1000,$B$11)</f>
        <v>1000</v>
      </c>
    </row>
    <row r="21" spans="1:5" x14ac:dyDescent="0.25">
      <c r="E21" s="4">
        <f>$B$11-$E$20</f>
        <v>16000</v>
      </c>
    </row>
    <row r="22" spans="1:5" x14ac:dyDescent="0.25">
      <c r="A22" t="s">
        <v>2726</v>
      </c>
      <c r="B22">
        <f>SUM($D$17:$D$20)</f>
        <v>17000</v>
      </c>
      <c r="E22" s="4">
        <f>ROUND(0.62*$E$21,0)</f>
        <v>9920</v>
      </c>
    </row>
    <row r="23" spans="1:5" x14ac:dyDescent="0.25">
      <c r="A23" t="s">
        <v>14</v>
      </c>
      <c r="B23" t="str">
        <f>IF(SUM($C$17:$C$20)&gt;=$B$11,"Inventory Sufficient","Insufficient")</f>
        <v>Inventory Sufficient</v>
      </c>
      <c r="E23" s="4">
        <f>MIN($C$17,$E$22)</f>
        <v>9920</v>
      </c>
    </row>
    <row r="24" spans="1:5" x14ac:dyDescent="0.25">
      <c r="A24" t="s">
        <v>2727</v>
      </c>
      <c r="B24" t="s">
        <v>2728</v>
      </c>
      <c r="E24" s="4">
        <f>$E$21-$E$23</f>
        <v>6080</v>
      </c>
    </row>
    <row r="25" spans="1:5" x14ac:dyDescent="0.25">
      <c r="E25" s="4">
        <f>ROUND(0.21*$E$24,0)</f>
        <v>1277</v>
      </c>
    </row>
    <row r="26" spans="1:5" x14ac:dyDescent="0.25">
      <c r="E26" s="4">
        <f>MIN($C$18,$E$25)</f>
        <v>1277</v>
      </c>
    </row>
    <row r="27" spans="1:5" x14ac:dyDescent="0.25">
      <c r="E27" s="4">
        <f>$B$11-$E$20-$E$23-$E$26</f>
        <v>4803</v>
      </c>
    </row>
    <row r="28" spans="1:5" x14ac:dyDescent="0.25">
      <c r="E28" s="4">
        <f>MIN($C$19,$E$27)</f>
        <v>4803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5E110-E074-4752-97D6-94126990A21E}">
  <dimension ref="A1:N624"/>
  <sheetViews>
    <sheetView tabSelected="1" workbookViewId="0">
      <selection sqref="A1:H1"/>
    </sheetView>
  </sheetViews>
  <sheetFormatPr defaultRowHeight="15" x14ac:dyDescent="0.25"/>
  <cols>
    <col min="1" max="3" width="30.140625" bestFit="1" customWidth="1"/>
    <col min="4" max="5" width="13.140625" bestFit="1" customWidth="1"/>
    <col min="6" max="6" width="17.28515625" bestFit="1" customWidth="1"/>
    <col min="7" max="7" width="19.7109375" bestFit="1" customWidth="1"/>
    <col min="8" max="8" width="14.5703125" bestFit="1" customWidth="1"/>
    <col min="9" max="9" width="14.7109375" bestFit="1" customWidth="1"/>
    <col min="10" max="10" width="10.28515625" bestFit="1" customWidth="1"/>
    <col min="11" max="11" width="30" bestFit="1" customWidth="1"/>
    <col min="12" max="12" width="16.42578125" bestFit="1" customWidth="1"/>
    <col min="13" max="13" width="16.85546875" bestFit="1" customWidth="1"/>
    <col min="14" max="14" width="16" bestFit="1" customWidth="1"/>
  </cols>
  <sheetData>
    <row r="1" spans="1:8" ht="18.75" x14ac:dyDescent="0.3">
      <c r="A1" s="19" t="s">
        <v>2729</v>
      </c>
      <c r="B1" s="20"/>
      <c r="C1" s="20"/>
      <c r="D1" s="20"/>
      <c r="E1" s="20"/>
      <c r="F1" s="20"/>
      <c r="G1" s="20"/>
      <c r="H1" s="20"/>
    </row>
    <row r="2" spans="1:8" x14ac:dyDescent="0.25">
      <c r="A2" s="7" t="s">
        <v>2730</v>
      </c>
      <c r="B2" s="7" t="s">
        <v>2731</v>
      </c>
      <c r="C2" s="7" t="s">
        <v>7</v>
      </c>
      <c r="D2" s="7" t="s">
        <v>8</v>
      </c>
      <c r="E2" s="7" t="s">
        <v>9</v>
      </c>
      <c r="F2" s="7" t="s">
        <v>2732</v>
      </c>
      <c r="G2" s="7" t="s">
        <v>2733</v>
      </c>
      <c r="H2" s="7" t="s">
        <v>2734</v>
      </c>
    </row>
    <row r="3" spans="1:8" x14ac:dyDescent="0.25">
      <c r="A3" t="s">
        <v>83</v>
      </c>
      <c r="B3">
        <f>COUNTIF(global_inventory_export11182025!F:F,"CLT")</f>
        <v>218</v>
      </c>
      <c r="C3" s="9">
        <f>SUMIF(global_inventory_export11182025!F:F,"CLT",global_inventory_export11182025!H:H)</f>
        <v>80730</v>
      </c>
      <c r="D3" s="9">
        <f>SUMIF(global_inventory_export11182025!F:F,"CLT",global_inventory_export11182025!I:I)</f>
        <v>10289</v>
      </c>
      <c r="E3" s="9">
        <f>SUMIF(global_inventory_export11182025!F:F,"CLT",global_inventory_export11182025!J:J)</f>
        <v>70485</v>
      </c>
      <c r="F3" s="9">
        <f>AVERAGEIF(global_inventory_export11182025!F:F,"CLT",global_inventory_export11182025!K:K)</f>
        <v>240.68348623853211</v>
      </c>
      <c r="G3" cm="1">
        <f t="array" ref="G3">SUMPRODUCT((global_inventory_export11182025!F$2:F$789="CLT")*(global_inventory_export11182025!J$2:J$789&lt;global_inventory_export11182025!K$2:K$789))</f>
        <v>121</v>
      </c>
      <c r="H3" s="11">
        <f t="shared" ref="H3:H8" si="0">IF(B3=0,0,G3/B3)</f>
        <v>0.55504587155963303</v>
      </c>
    </row>
    <row r="4" spans="1:8" x14ac:dyDescent="0.25">
      <c r="A4" t="s">
        <v>35</v>
      </c>
      <c r="B4">
        <f>COUNTIF(global_inventory_export11182025!F:F,"DAL")</f>
        <v>242</v>
      </c>
      <c r="C4" s="9">
        <f>SUMIF(global_inventory_export11182025!F:F,"DAL",global_inventory_export11182025!H:H)</f>
        <v>88486</v>
      </c>
      <c r="D4" s="9">
        <f>SUMIF(global_inventory_export11182025!F:F,"DAL",global_inventory_export11182025!I:I)</f>
        <v>11423</v>
      </c>
      <c r="E4" s="9">
        <f>SUMIF(global_inventory_export11182025!F:F,"DAL",global_inventory_export11182025!J:J)</f>
        <v>77110</v>
      </c>
      <c r="F4" s="9">
        <f>AVERAGEIF(global_inventory_export11182025!F:F,"DAL",global_inventory_export11182025!K:K)</f>
        <v>250.6694214876033</v>
      </c>
      <c r="G4" cm="1">
        <f t="array" ref="G4">SUMPRODUCT((global_inventory_export11182025!F$2:F$789="DAL")*(global_inventory_export11182025!J$2:J$789&lt;global_inventory_export11182025!K$2:K$789))</f>
        <v>135</v>
      </c>
      <c r="H4" s="11">
        <f t="shared" si="0"/>
        <v>0.55785123966942152</v>
      </c>
    </row>
    <row r="5" spans="1:8" x14ac:dyDescent="0.25">
      <c r="A5" t="s">
        <v>22</v>
      </c>
      <c r="B5">
        <f>COUNTIF(global_inventory_export11182025!F:F,"SAN")</f>
        <v>40</v>
      </c>
      <c r="C5" s="9">
        <f>SUMIF(global_inventory_export11182025!F:F,"SAN",global_inventory_export11182025!H:H)</f>
        <v>207</v>
      </c>
      <c r="D5" s="9">
        <f>SUMIF(global_inventory_export11182025!F:F,"SAN",global_inventory_export11182025!I:I)</f>
        <v>78</v>
      </c>
      <c r="E5" s="9">
        <f>SUMIF(global_inventory_export11182025!F:F,"SAN",global_inventory_export11182025!J:J)</f>
        <v>129</v>
      </c>
      <c r="F5" s="9">
        <f>AVERAGEIF(global_inventory_export11182025!F:F,"SAN",global_inventory_export11182025!K:K)</f>
        <v>447.15</v>
      </c>
      <c r="G5" cm="1">
        <f t="array" ref="G5">SUMPRODUCT((global_inventory_export11182025!F$2:F$789="SAN")*(global_inventory_export11182025!J$2:J$789&lt;global_inventory_export11182025!K$2:K$789))</f>
        <v>40</v>
      </c>
      <c r="H5" s="11">
        <f t="shared" si="0"/>
        <v>1</v>
      </c>
    </row>
    <row r="6" spans="1:8" x14ac:dyDescent="0.25">
      <c r="A6" t="s">
        <v>62</v>
      </c>
      <c r="B6">
        <f>COUNTIF(global_inventory_export11182025!F:F,"STL")</f>
        <v>240</v>
      </c>
      <c r="C6" s="9">
        <f>SUMIF(global_inventory_export11182025!F:F,"STL",global_inventory_export11182025!H:H)</f>
        <v>97710</v>
      </c>
      <c r="D6" s="9">
        <f>SUMIF(global_inventory_export11182025!F:F,"STL",global_inventory_export11182025!I:I)</f>
        <v>11250</v>
      </c>
      <c r="E6" s="9">
        <f>SUMIF(global_inventory_export11182025!F:F,"STL",global_inventory_export11182025!J:J)</f>
        <v>86484</v>
      </c>
      <c r="F6" s="9">
        <f>AVERAGEIF(global_inventory_export11182025!F:F,"STL",global_inventory_export11182025!K:K)</f>
        <v>248.93333333333334</v>
      </c>
      <c r="G6" cm="1">
        <f t="array" ref="G6">SUMPRODUCT((global_inventory_export11182025!F$2:F$789="STL")*(global_inventory_export11182025!J$2:J$789&lt;global_inventory_export11182025!K$2:K$789))</f>
        <v>132</v>
      </c>
      <c r="H6" s="11">
        <f t="shared" si="0"/>
        <v>0.55000000000000004</v>
      </c>
    </row>
    <row r="7" spans="1:8" x14ac:dyDescent="0.25">
      <c r="A7" t="s">
        <v>29</v>
      </c>
      <c r="B7">
        <f>COUNTIF(global_inventory_export11182025!F:F,"WOO")</f>
        <v>48</v>
      </c>
      <c r="C7" s="9">
        <f>SUMIF(global_inventory_export11182025!F:F,"WOO",global_inventory_export11182025!H:H)</f>
        <v>47377</v>
      </c>
      <c r="D7" s="9">
        <f>SUMIF(global_inventory_export11182025!F:F,"WOO",global_inventory_export11182025!I:I)</f>
        <v>1416</v>
      </c>
      <c r="E7" s="9">
        <f>SUMIF(global_inventory_export11182025!F:F,"WOO",global_inventory_export11182025!J:J)</f>
        <v>45961</v>
      </c>
      <c r="F7" s="9">
        <f>AVERAGEIF(global_inventory_export11182025!F:F,"WOO",global_inventory_export11182025!K:K)</f>
        <v>339.02083333333331</v>
      </c>
      <c r="G7" cm="1">
        <f t="array" ref="G7">SUMPRODUCT((global_inventory_export11182025!F$2:F$789="WOO")*(global_inventory_export11182025!J$2:J$789&lt;global_inventory_export11182025!K$2:K$789))</f>
        <v>27</v>
      </c>
      <c r="H7" s="11">
        <f t="shared" si="0"/>
        <v>0.5625</v>
      </c>
    </row>
    <row r="8" spans="1:8" x14ac:dyDescent="0.25">
      <c r="A8" s="8" t="s">
        <v>2735</v>
      </c>
      <c r="B8" s="8">
        <f>SUM(B3:B7)</f>
        <v>788</v>
      </c>
      <c r="C8" s="10">
        <f>SUM(C3:C7)</f>
        <v>314510</v>
      </c>
      <c r="D8" s="10">
        <f>SUM(D3:D7)</f>
        <v>34456</v>
      </c>
      <c r="E8" s="10">
        <f>SUM(E3:E7)</f>
        <v>280169</v>
      </c>
      <c r="F8" s="10">
        <f>AVERAGE(F3:F7)</f>
        <v>305.29141487856043</v>
      </c>
      <c r="G8" s="8">
        <f>SUM(G3:G7)</f>
        <v>455</v>
      </c>
      <c r="H8" s="12">
        <f t="shared" si="0"/>
        <v>0.57741116751269039</v>
      </c>
    </row>
    <row r="10" spans="1:8" ht="18.75" x14ac:dyDescent="0.3">
      <c r="A10" s="19" t="s">
        <v>2736</v>
      </c>
      <c r="B10" s="20"/>
      <c r="C10" s="20"/>
      <c r="D10" s="20"/>
      <c r="E10" s="20"/>
      <c r="F10" s="20"/>
      <c r="G10" s="20"/>
      <c r="H10" s="20"/>
    </row>
    <row r="11" spans="1:8" x14ac:dyDescent="0.25">
      <c r="A11" s="7" t="s">
        <v>2715</v>
      </c>
      <c r="B11" s="7" t="s">
        <v>83</v>
      </c>
      <c r="C11" s="7" t="s">
        <v>35</v>
      </c>
      <c r="D11" s="7" t="s">
        <v>22</v>
      </c>
      <c r="E11" s="7" t="s">
        <v>62</v>
      </c>
      <c r="F11" s="7" t="s">
        <v>29</v>
      </c>
      <c r="G11" s="7" t="s">
        <v>2735</v>
      </c>
      <c r="H11" s="7" t="s">
        <v>2737</v>
      </c>
    </row>
    <row r="12" spans="1:8" x14ac:dyDescent="0.25">
      <c r="A12" t="s">
        <v>18</v>
      </c>
      <c r="B12" s="9">
        <f>SUMIFS(global_inventory_export11182025!J:J,global_inventory_export11182025!B:B,"ZavaCore Field Elite Tee",global_inventory_export11182025!F:F,"CLT")</f>
        <v>4496</v>
      </c>
      <c r="C12" s="9">
        <f>SUMIFS(global_inventory_export11182025!J:J,global_inventory_export11182025!B:B,"ZavaCore Field Elite Tee",global_inventory_export11182025!F:F,"DAL")</f>
        <v>8114</v>
      </c>
      <c r="D12" s="9">
        <f>SUMIFS(global_inventory_export11182025!J:J,global_inventory_export11182025!B:B,"ZavaCore Field Elite Tee",global_inventory_export11182025!F:F,"SAN")</f>
        <v>47</v>
      </c>
      <c r="E12" s="9">
        <f>SUMIFS(global_inventory_export11182025!J:J,global_inventory_export11182025!B:B,"ZavaCore Field Elite Tee",global_inventory_export11182025!F:F,"STL")</f>
        <v>14224</v>
      </c>
      <c r="F12" s="9">
        <f>SUMIFS(global_inventory_export11182025!J:J,global_inventory_export11182025!B:B,"ZavaCore Field Elite Tee",global_inventory_export11182025!F:F,"WOO")</f>
        <v>11224</v>
      </c>
      <c r="G12" s="9">
        <f>SUM(B12:F12)</f>
        <v>38105</v>
      </c>
      <c r="H12" s="9">
        <f>AVERAGE(B12:F12)</f>
        <v>7621</v>
      </c>
    </row>
    <row r="13" spans="1:8" x14ac:dyDescent="0.25">
      <c r="A13" t="s">
        <v>789</v>
      </c>
      <c r="B13" s="9">
        <f>SUMIFS(global_inventory_export11182025!J:J,global_inventory_export11182025!B:B,"ZavaCore Field Premium Tee",global_inventory_export11182025!F:F,"CLT")</f>
        <v>4061</v>
      </c>
      <c r="C13" s="9">
        <f>SUMIFS(global_inventory_export11182025!J:J,global_inventory_export11182025!B:B,"ZavaCore Field Premium Tee",global_inventory_export11182025!F:F,"DAL")</f>
        <v>6050</v>
      </c>
      <c r="D13" s="9">
        <f>SUMIFS(global_inventory_export11182025!J:J,global_inventory_export11182025!B:B,"ZavaCore Field Premium Tee",global_inventory_export11182025!F:F,"SAN")</f>
        <v>35</v>
      </c>
      <c r="E13" s="9">
        <f>SUMIFS(global_inventory_export11182025!J:J,global_inventory_export11182025!B:B,"ZavaCore Field Premium Tee",global_inventory_export11182025!F:F,"STL")</f>
        <v>6501</v>
      </c>
      <c r="F13" s="9">
        <f>SUMIFS(global_inventory_export11182025!J:J,global_inventory_export11182025!B:B,"ZavaCore Field Premium Tee",global_inventory_export11182025!F:F,"WOO")</f>
        <v>15004</v>
      </c>
      <c r="G13" s="9">
        <f>SUM(B13:F13)</f>
        <v>31651</v>
      </c>
      <c r="H13" s="9">
        <f>AVERAGE(B13:F13)</f>
        <v>6330.2</v>
      </c>
    </row>
    <row r="14" spans="1:8" x14ac:dyDescent="0.25">
      <c r="A14" t="s">
        <v>1612</v>
      </c>
      <c r="B14" s="9">
        <f>SUMIFS(global_inventory_export11182025!J:J,global_inventory_export11182025!B:B,"ZavaCore Systems Athletic Jersey",global_inventory_export11182025!F:F,"CLT")</f>
        <v>28603</v>
      </c>
      <c r="C14" s="9">
        <f>SUMIFS(global_inventory_export11182025!J:J,global_inventory_export11182025!B:B,"ZavaCore Systems Athletic Jersey",global_inventory_export11182025!F:F,"DAL")</f>
        <v>28731</v>
      </c>
      <c r="D14" s="9">
        <f>SUMIFS(global_inventory_export11182025!J:J,global_inventory_export11182025!B:B,"ZavaCore Systems Athletic Jersey",global_inventory_export11182025!F:F,"SAN")</f>
        <v>24</v>
      </c>
      <c r="E14" s="9">
        <f>SUMIFS(global_inventory_export11182025!J:J,global_inventory_export11182025!B:B,"ZavaCore Systems Athletic Jersey",global_inventory_export11182025!F:F,"STL")</f>
        <v>32936</v>
      </c>
      <c r="F14" s="9">
        <f>SUMIFS(global_inventory_export11182025!J:J,global_inventory_export11182025!B:B,"ZavaCore Systems Athletic Jersey",global_inventory_export11182025!F:F,"WOO")</f>
        <v>17972</v>
      </c>
      <c r="G14" s="9">
        <f>SUM(B14:F14)</f>
        <v>108266</v>
      </c>
      <c r="H14" s="9">
        <f>AVERAGE(B14:F14)</f>
        <v>21653.200000000001</v>
      </c>
    </row>
    <row r="15" spans="1:8" x14ac:dyDescent="0.25">
      <c r="A15" t="s">
        <v>2170</v>
      </c>
      <c r="B15" s="9">
        <f>SUMIFS(global_inventory_export11182025!J:J,global_inventory_export11182025!B:B,"ZavaCore Smart Cleats",global_inventory_export11182025!F:F,"CLT")</f>
        <v>33325</v>
      </c>
      <c r="C15" s="9">
        <f>SUMIFS(global_inventory_export11182025!J:J,global_inventory_export11182025!B:B,"ZavaCore Smart Cleats",global_inventory_export11182025!F:F,"DAL")</f>
        <v>34215</v>
      </c>
      <c r="D15" s="9">
        <f>SUMIFS(global_inventory_export11182025!J:J,global_inventory_export11182025!B:B,"ZavaCore Smart Cleats",global_inventory_export11182025!F:F,"SAN")</f>
        <v>23</v>
      </c>
      <c r="E15" s="9">
        <f>SUMIFS(global_inventory_export11182025!J:J,global_inventory_export11182025!B:B,"ZavaCore Smart Cleats",global_inventory_export11182025!F:F,"STL")</f>
        <v>32823</v>
      </c>
      <c r="F15" s="9">
        <f>SUMIFS(global_inventory_export11182025!J:J,global_inventory_export11182025!B:B,"ZavaCore Smart Cleats",global_inventory_export11182025!F:F,"WOO")</f>
        <v>1761</v>
      </c>
      <c r="G15" s="9">
        <f>SUM(B15:F15)</f>
        <v>102147</v>
      </c>
      <c r="H15" s="9">
        <f>AVERAGE(B15:F15)</f>
        <v>20429.400000000001</v>
      </c>
    </row>
    <row r="16" spans="1:8" x14ac:dyDescent="0.25">
      <c r="A16" s="8" t="s">
        <v>2735</v>
      </c>
      <c r="B16" s="10">
        <f t="shared" ref="B16:H16" si="1">SUM(B12:B15)</f>
        <v>70485</v>
      </c>
      <c r="C16" s="10">
        <f t="shared" si="1"/>
        <v>77110</v>
      </c>
      <c r="D16" s="10">
        <f t="shared" si="1"/>
        <v>129</v>
      </c>
      <c r="E16" s="10">
        <f t="shared" si="1"/>
        <v>86484</v>
      </c>
      <c r="F16" s="10">
        <f t="shared" si="1"/>
        <v>45961</v>
      </c>
      <c r="G16" s="10">
        <f t="shared" si="1"/>
        <v>280169</v>
      </c>
      <c r="H16" s="10">
        <f t="shared" si="1"/>
        <v>56033.8</v>
      </c>
    </row>
    <row r="18" spans="1:12" ht="18.75" x14ac:dyDescent="0.3">
      <c r="A18" s="19" t="s">
        <v>2738</v>
      </c>
      <c r="B18" s="20"/>
      <c r="C18" s="20"/>
      <c r="D18" s="20"/>
      <c r="E18" s="20"/>
      <c r="F18" s="20"/>
      <c r="G18" s="20"/>
      <c r="H18" s="20"/>
    </row>
    <row r="19" spans="1:12" x14ac:dyDescent="0.25">
      <c r="A19" s="7" t="s">
        <v>3</v>
      </c>
      <c r="B19" s="7" t="s">
        <v>83</v>
      </c>
      <c r="C19" s="7" t="s">
        <v>35</v>
      </c>
      <c r="D19" s="7" t="s">
        <v>22</v>
      </c>
      <c r="E19" s="7" t="s">
        <v>62</v>
      </c>
      <c r="F19" s="7" t="s">
        <v>29</v>
      </c>
      <c r="G19" s="7" t="s">
        <v>2735</v>
      </c>
      <c r="H19" s="7" t="s">
        <v>2737</v>
      </c>
    </row>
    <row r="20" spans="1:12" x14ac:dyDescent="0.25">
      <c r="A20" t="s">
        <v>434</v>
      </c>
      <c r="B20" s="9">
        <f>SUMIFS(global_inventory_export11182025!J:J,global_inventory_export11182025!D:D,"Small",global_inventory_export11182025!F:F,"CLT")</f>
        <v>8450</v>
      </c>
      <c r="C20" s="9">
        <f>SUMIFS(global_inventory_export11182025!J:J,global_inventory_export11182025!D:D,"Small",global_inventory_export11182025!F:F,"DAL")</f>
        <v>8568</v>
      </c>
      <c r="D20" s="9">
        <f>SUMIFS(global_inventory_export11182025!J:J,global_inventory_export11182025!D:D,"Small",global_inventory_export11182025!F:F,"SAN")</f>
        <v>28</v>
      </c>
      <c r="E20" s="9">
        <f>SUMIFS(global_inventory_export11182025!J:J,global_inventory_export11182025!D:D,"Small",global_inventory_export11182025!F:F,"STL")</f>
        <v>13207</v>
      </c>
      <c r="F20" s="9">
        <f>SUMIFS(global_inventory_export11182025!J:J,global_inventory_export11182025!D:D,"Small",global_inventory_export11182025!F:F,"WOO")</f>
        <v>8008</v>
      </c>
      <c r="G20" s="9">
        <f t="shared" ref="G20:G27" si="2">SUM(B20:F20)</f>
        <v>38261</v>
      </c>
      <c r="H20" s="9">
        <f t="shared" ref="H20:H27" si="3">AVERAGE(B20:F20)</f>
        <v>7652.2</v>
      </c>
    </row>
    <row r="21" spans="1:12" x14ac:dyDescent="0.25">
      <c r="A21" t="s">
        <v>229</v>
      </c>
      <c r="B21" s="9">
        <f>SUMIFS(global_inventory_export11182025!J:J,global_inventory_export11182025!D:D,"Medium",global_inventory_export11182025!F:F,"CLT")</f>
        <v>12364</v>
      </c>
      <c r="C21" s="9">
        <f>SUMIFS(global_inventory_export11182025!J:J,global_inventory_export11182025!D:D,"Medium",global_inventory_export11182025!F:F,"DAL")</f>
        <v>14951</v>
      </c>
      <c r="D21" s="9">
        <f>SUMIFS(global_inventory_export11182025!J:J,global_inventory_export11182025!D:D,"Medium",global_inventory_export11182025!F:F,"SAN")</f>
        <v>24</v>
      </c>
      <c r="E21" s="9">
        <f>SUMIFS(global_inventory_export11182025!J:J,global_inventory_export11182025!D:D,"Medium",global_inventory_export11182025!F:F,"STL")</f>
        <v>13113</v>
      </c>
      <c r="F21" s="9">
        <f>SUMIFS(global_inventory_export11182025!J:J,global_inventory_export11182025!D:D,"Medium",global_inventory_export11182025!F:F,"WOO")</f>
        <v>10995</v>
      </c>
      <c r="G21" s="9">
        <f t="shared" si="2"/>
        <v>51447</v>
      </c>
      <c r="H21" s="9">
        <f t="shared" si="3"/>
        <v>10289.4</v>
      </c>
    </row>
    <row r="22" spans="1:12" x14ac:dyDescent="0.25">
      <c r="A22" t="s">
        <v>20</v>
      </c>
      <c r="B22" s="9">
        <f>SUMIFS(global_inventory_export11182025!J:J,global_inventory_export11182025!D:D,"Large",global_inventory_export11182025!F:F,"CLT")</f>
        <v>8960</v>
      </c>
      <c r="C22" s="9">
        <f>SUMIFS(global_inventory_export11182025!J:J,global_inventory_export11182025!D:D,"Large",global_inventory_export11182025!F:F,"DAL")</f>
        <v>9958</v>
      </c>
      <c r="D22" s="9">
        <f>SUMIFS(global_inventory_export11182025!J:J,global_inventory_export11182025!D:D,"Large",global_inventory_export11182025!F:F,"SAN")</f>
        <v>24</v>
      </c>
      <c r="E22" s="9">
        <f>SUMIFS(global_inventory_export11182025!J:J,global_inventory_export11182025!D:D,"Large",global_inventory_export11182025!F:F,"STL")</f>
        <v>16897</v>
      </c>
      <c r="F22" s="9">
        <f>SUMIFS(global_inventory_export11182025!J:J,global_inventory_export11182025!D:D,"Large",global_inventory_export11182025!F:F,"WOO")</f>
        <v>12747</v>
      </c>
      <c r="G22" s="9">
        <f t="shared" si="2"/>
        <v>48586</v>
      </c>
      <c r="H22" s="9">
        <f t="shared" si="3"/>
        <v>9717.2000000000007</v>
      </c>
    </row>
    <row r="23" spans="1:12" x14ac:dyDescent="0.25">
      <c r="A23" t="s">
        <v>601</v>
      </c>
      <c r="B23" s="9">
        <f>SUMIFS(global_inventory_export11182025!J:J,global_inventory_export11182025!D:D,"Extra Large",global_inventory_export11182025!F:F,"CLT")</f>
        <v>7386</v>
      </c>
      <c r="C23" s="9">
        <f>SUMIFS(global_inventory_export11182025!J:J,global_inventory_export11182025!D:D,"Extra Large",global_inventory_export11182025!F:F,"DAL")</f>
        <v>9418</v>
      </c>
      <c r="D23" s="9">
        <f>SUMIFS(global_inventory_export11182025!J:J,global_inventory_export11182025!D:D,"Extra Large",global_inventory_export11182025!F:F,"SAN")</f>
        <v>30</v>
      </c>
      <c r="E23" s="9">
        <f>SUMIFS(global_inventory_export11182025!J:J,global_inventory_export11182025!D:D,"Extra Large",global_inventory_export11182025!F:F,"STL")</f>
        <v>10444</v>
      </c>
      <c r="F23" s="9">
        <f>SUMIFS(global_inventory_export11182025!J:J,global_inventory_export11182025!D:D,"Extra Large",global_inventory_export11182025!F:F,"WOO")</f>
        <v>12450</v>
      </c>
      <c r="G23" s="9">
        <f t="shared" si="2"/>
        <v>39728</v>
      </c>
      <c r="H23" s="9">
        <f t="shared" si="3"/>
        <v>7945.6</v>
      </c>
    </row>
    <row r="24" spans="1:12" x14ac:dyDescent="0.25">
      <c r="A24" t="s">
        <v>2460</v>
      </c>
      <c r="B24" s="9">
        <f>SUMIFS(global_inventory_export11182025!J:J,global_inventory_export11182025!D:D,"US 8",global_inventory_export11182025!F:F,"CLT")</f>
        <v>6954</v>
      </c>
      <c r="C24" s="9">
        <f>SUMIFS(global_inventory_export11182025!J:J,global_inventory_export11182025!D:D,"US 8",global_inventory_export11182025!F:F,"DAL")</f>
        <v>8376</v>
      </c>
      <c r="D24" s="9">
        <f>SUMIFS(global_inventory_export11182025!J:J,global_inventory_export11182025!D:D,"US 8",global_inventory_export11182025!F:F,"SAN")</f>
        <v>5</v>
      </c>
      <c r="E24" s="9">
        <f>SUMIFS(global_inventory_export11182025!J:J,global_inventory_export11182025!D:D,"US 8",global_inventory_export11182025!F:F,"STL")</f>
        <v>7055</v>
      </c>
      <c r="F24" s="9">
        <f>SUMIFS(global_inventory_export11182025!J:J,global_inventory_export11182025!D:D,"US 8",global_inventory_export11182025!F:F,"WOO")</f>
        <v>302</v>
      </c>
      <c r="G24" s="9">
        <f t="shared" si="2"/>
        <v>22692</v>
      </c>
      <c r="H24" s="9">
        <f t="shared" si="3"/>
        <v>4538.3999999999996</v>
      </c>
    </row>
    <row r="25" spans="1:12" x14ac:dyDescent="0.25">
      <c r="A25" t="s">
        <v>2589</v>
      </c>
      <c r="B25" s="9">
        <f>SUMIFS(global_inventory_export11182025!J:J,global_inventory_export11182025!D:D,"US 9",global_inventory_export11182025!F:F,"CLT")</f>
        <v>7488</v>
      </c>
      <c r="C25" s="9">
        <f>SUMIFS(global_inventory_export11182025!J:J,global_inventory_export11182025!D:D,"US 9",global_inventory_export11182025!F:F,"DAL")</f>
        <v>8202</v>
      </c>
      <c r="D25" s="9">
        <f>SUMIFS(global_inventory_export11182025!J:J,global_inventory_export11182025!D:D,"US 9",global_inventory_export11182025!F:F,"SAN")</f>
        <v>7</v>
      </c>
      <c r="E25" s="9">
        <f>SUMIFS(global_inventory_export11182025!J:J,global_inventory_export11182025!D:D,"US 9",global_inventory_export11182025!F:F,"STL")</f>
        <v>7579</v>
      </c>
      <c r="F25" s="9">
        <f>SUMIFS(global_inventory_export11182025!J:J,global_inventory_export11182025!D:D,"US 9",global_inventory_export11182025!F:F,"WOO")</f>
        <v>447</v>
      </c>
      <c r="G25" s="9">
        <f t="shared" si="2"/>
        <v>23723</v>
      </c>
      <c r="H25" s="9">
        <f t="shared" si="3"/>
        <v>4744.6000000000004</v>
      </c>
    </row>
    <row r="26" spans="1:12" x14ac:dyDescent="0.25">
      <c r="A26" t="s">
        <v>2172</v>
      </c>
      <c r="B26" s="9">
        <f>SUMIFS(global_inventory_export11182025!J:J,global_inventory_export11182025!D:D,"US 10",global_inventory_export11182025!F:F,"CLT")</f>
        <v>9974</v>
      </c>
      <c r="C26" s="9">
        <f>SUMIFS(global_inventory_export11182025!J:J,global_inventory_export11182025!D:D,"US 10",global_inventory_export11182025!F:F,"DAL")</f>
        <v>8486</v>
      </c>
      <c r="D26" s="9">
        <f>SUMIFS(global_inventory_export11182025!J:J,global_inventory_export11182025!D:D,"US 10",global_inventory_export11182025!F:F,"SAN")</f>
        <v>6</v>
      </c>
      <c r="E26" s="9">
        <f>SUMIFS(global_inventory_export11182025!J:J,global_inventory_export11182025!D:D,"US 10",global_inventory_export11182025!F:F,"STL")</f>
        <v>8316</v>
      </c>
      <c r="F26" s="9">
        <f>SUMIFS(global_inventory_export11182025!J:J,global_inventory_export11182025!D:D,"US 10",global_inventory_export11182025!F:F,"WOO")</f>
        <v>564</v>
      </c>
      <c r="G26" s="9">
        <f t="shared" si="2"/>
        <v>27346</v>
      </c>
      <c r="H26" s="9">
        <f t="shared" si="3"/>
        <v>5469.2</v>
      </c>
    </row>
    <row r="27" spans="1:12" x14ac:dyDescent="0.25">
      <c r="A27" t="s">
        <v>2311</v>
      </c>
      <c r="B27" s="9">
        <f>SUMIFS(global_inventory_export11182025!J:J,global_inventory_export11182025!D:D,"US 11",global_inventory_export11182025!F:F,"CLT")</f>
        <v>8909</v>
      </c>
      <c r="C27" s="9">
        <f>SUMIFS(global_inventory_export11182025!J:J,global_inventory_export11182025!D:D,"US 11",global_inventory_export11182025!F:F,"DAL")</f>
        <v>9151</v>
      </c>
      <c r="D27" s="9">
        <f>SUMIFS(global_inventory_export11182025!J:J,global_inventory_export11182025!D:D,"US 11",global_inventory_export11182025!F:F,"SAN")</f>
        <v>5</v>
      </c>
      <c r="E27" s="9">
        <f>SUMIFS(global_inventory_export11182025!J:J,global_inventory_export11182025!D:D,"US 11",global_inventory_export11182025!F:F,"STL")</f>
        <v>9873</v>
      </c>
      <c r="F27" s="9">
        <f>SUMIFS(global_inventory_export11182025!J:J,global_inventory_export11182025!D:D,"US 11",global_inventory_export11182025!F:F,"WOO")</f>
        <v>448</v>
      </c>
      <c r="G27" s="9">
        <f t="shared" si="2"/>
        <v>28386</v>
      </c>
      <c r="H27" s="9">
        <f t="shared" si="3"/>
        <v>5677.2</v>
      </c>
    </row>
    <row r="28" spans="1:12" x14ac:dyDescent="0.25">
      <c r="A28" s="8" t="s">
        <v>2735</v>
      </c>
      <c r="B28" s="10">
        <f t="shared" ref="B28:H28" si="4">SUM(B20:B27)</f>
        <v>70485</v>
      </c>
      <c r="C28" s="10">
        <f t="shared" si="4"/>
        <v>77110</v>
      </c>
      <c r="D28" s="10">
        <f t="shared" si="4"/>
        <v>129</v>
      </c>
      <c r="E28" s="10">
        <f t="shared" si="4"/>
        <v>86484</v>
      </c>
      <c r="F28" s="10">
        <f t="shared" si="4"/>
        <v>45961</v>
      </c>
      <c r="G28" s="10">
        <f t="shared" si="4"/>
        <v>280169</v>
      </c>
      <c r="H28" s="10">
        <f t="shared" si="4"/>
        <v>56033.799999999996</v>
      </c>
    </row>
    <row r="30" spans="1:12" ht="18.75" x14ac:dyDescent="0.3">
      <c r="A30" s="21" t="s">
        <v>2739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</row>
    <row r="31" spans="1:12" x14ac:dyDescent="0.25">
      <c r="A31" s="13" t="s">
        <v>0</v>
      </c>
      <c r="B31" s="13" t="s">
        <v>2715</v>
      </c>
      <c r="C31" s="13" t="s">
        <v>3</v>
      </c>
      <c r="D31" s="13" t="s">
        <v>4</v>
      </c>
      <c r="E31" s="13" t="s">
        <v>2730</v>
      </c>
      <c r="F31" s="13" t="s">
        <v>7</v>
      </c>
      <c r="G31" s="13" t="s">
        <v>8</v>
      </c>
      <c r="H31" s="13" t="s">
        <v>9</v>
      </c>
      <c r="I31" s="13" t="s">
        <v>10</v>
      </c>
      <c r="J31" s="13" t="s">
        <v>2740</v>
      </c>
      <c r="K31" s="13" t="s">
        <v>2741</v>
      </c>
      <c r="L31" s="13" t="s">
        <v>14</v>
      </c>
    </row>
    <row r="32" spans="1:12" x14ac:dyDescent="0.25">
      <c r="A32" t="s">
        <v>2136</v>
      </c>
      <c r="B32" t="s">
        <v>1612</v>
      </c>
      <c r="C32" t="s">
        <v>601</v>
      </c>
      <c r="D32" t="s">
        <v>171</v>
      </c>
      <c r="E32" t="s">
        <v>22</v>
      </c>
      <c r="F32" s="9">
        <v>7</v>
      </c>
      <c r="G32" s="9">
        <v>2</v>
      </c>
      <c r="H32" s="9">
        <v>5</v>
      </c>
      <c r="I32" s="9">
        <v>695</v>
      </c>
      <c r="J32" s="9">
        <v>690</v>
      </c>
      <c r="K32" t="str">
        <f>IF(H32=0,"CRITICAL",IF(J32&gt;200,"HIGH","MEDIUM"))</f>
        <v>HIGH</v>
      </c>
      <c r="L32" t="s">
        <v>26</v>
      </c>
    </row>
    <row r="33" spans="1:12" x14ac:dyDescent="0.25">
      <c r="A33" t="s">
        <v>305</v>
      </c>
      <c r="B33" t="s">
        <v>18</v>
      </c>
      <c r="C33" t="s">
        <v>229</v>
      </c>
      <c r="D33" t="s">
        <v>122</v>
      </c>
      <c r="E33" t="s">
        <v>22</v>
      </c>
      <c r="F33" s="9">
        <v>3</v>
      </c>
      <c r="G33" s="9">
        <v>2</v>
      </c>
      <c r="H33" s="9">
        <v>1</v>
      </c>
      <c r="I33" s="9">
        <v>687</v>
      </c>
      <c r="J33" s="9">
        <v>686</v>
      </c>
      <c r="K33" t="str">
        <f t="shared" ref="K33:K96" si="5">IF(H33=0,"CRITICAL",IF(J33&gt;200,"HIGH","MEDIUM"))</f>
        <v>HIGH</v>
      </c>
      <c r="L33" t="s">
        <v>26</v>
      </c>
    </row>
    <row r="34" spans="1:12" x14ac:dyDescent="0.25">
      <c r="A34" t="s">
        <v>1884</v>
      </c>
      <c r="B34" t="s">
        <v>1612</v>
      </c>
      <c r="C34" t="s">
        <v>229</v>
      </c>
      <c r="D34" t="s">
        <v>171</v>
      </c>
      <c r="E34" t="s">
        <v>22</v>
      </c>
      <c r="F34" s="9">
        <v>6</v>
      </c>
      <c r="G34" s="9">
        <v>2</v>
      </c>
      <c r="H34" s="9">
        <v>4</v>
      </c>
      <c r="I34" s="9">
        <v>679</v>
      </c>
      <c r="J34" s="9">
        <v>675</v>
      </c>
      <c r="K34" t="str">
        <f t="shared" si="5"/>
        <v>HIGH</v>
      </c>
      <c r="L34" t="s">
        <v>26</v>
      </c>
    </row>
    <row r="35" spans="1:12" x14ac:dyDescent="0.25">
      <c r="A35" t="s">
        <v>491</v>
      </c>
      <c r="B35" t="s">
        <v>18</v>
      </c>
      <c r="C35" t="s">
        <v>434</v>
      </c>
      <c r="D35" t="s">
        <v>122</v>
      </c>
      <c r="E35" t="s">
        <v>22</v>
      </c>
      <c r="F35" s="9">
        <v>6</v>
      </c>
      <c r="G35" s="9">
        <v>1</v>
      </c>
      <c r="H35" s="9">
        <v>5</v>
      </c>
      <c r="I35" s="9">
        <v>679</v>
      </c>
      <c r="J35" s="9">
        <v>674</v>
      </c>
      <c r="K35" t="str">
        <f t="shared" si="5"/>
        <v>HIGH</v>
      </c>
      <c r="L35" t="s">
        <v>26</v>
      </c>
    </row>
    <row r="36" spans="1:12" x14ac:dyDescent="0.25">
      <c r="A36" t="s">
        <v>993</v>
      </c>
      <c r="B36" t="s">
        <v>789</v>
      </c>
      <c r="C36" t="s">
        <v>20</v>
      </c>
      <c r="D36" t="s">
        <v>171</v>
      </c>
      <c r="E36" t="s">
        <v>22</v>
      </c>
      <c r="F36" s="9">
        <v>4</v>
      </c>
      <c r="G36" s="9">
        <v>2</v>
      </c>
      <c r="H36" s="9">
        <v>2</v>
      </c>
      <c r="I36" s="9">
        <v>668</v>
      </c>
      <c r="J36" s="9">
        <v>666</v>
      </c>
      <c r="K36" t="str">
        <f t="shared" si="5"/>
        <v>HIGH</v>
      </c>
      <c r="L36" t="s">
        <v>26</v>
      </c>
    </row>
    <row r="37" spans="1:12" x14ac:dyDescent="0.25">
      <c r="A37" t="s">
        <v>2661</v>
      </c>
      <c r="B37" t="s">
        <v>2170</v>
      </c>
      <c r="C37" t="s">
        <v>2589</v>
      </c>
      <c r="D37" t="s">
        <v>171</v>
      </c>
      <c r="E37" t="s">
        <v>22</v>
      </c>
      <c r="F37" s="9">
        <v>4</v>
      </c>
      <c r="G37" s="9">
        <v>2</v>
      </c>
      <c r="H37" s="9">
        <v>2</v>
      </c>
      <c r="I37" s="9">
        <v>628</v>
      </c>
      <c r="J37" s="9">
        <v>626</v>
      </c>
      <c r="K37" t="str">
        <f t="shared" si="5"/>
        <v>HIGH</v>
      </c>
      <c r="L37" t="s">
        <v>26</v>
      </c>
    </row>
    <row r="38" spans="1:12" x14ac:dyDescent="0.25">
      <c r="A38" t="s">
        <v>17</v>
      </c>
      <c r="B38" t="s">
        <v>18</v>
      </c>
      <c r="C38" t="s">
        <v>20</v>
      </c>
      <c r="D38" t="s">
        <v>21</v>
      </c>
      <c r="E38" t="s">
        <v>22</v>
      </c>
      <c r="F38" s="9">
        <v>6</v>
      </c>
      <c r="G38" s="9">
        <v>1</v>
      </c>
      <c r="H38" s="9">
        <v>5</v>
      </c>
      <c r="I38" s="9">
        <v>621</v>
      </c>
      <c r="J38" s="9">
        <v>616</v>
      </c>
      <c r="K38" t="str">
        <f t="shared" si="5"/>
        <v>HIGH</v>
      </c>
      <c r="L38" t="s">
        <v>26</v>
      </c>
    </row>
    <row r="39" spans="1:12" x14ac:dyDescent="0.25">
      <c r="A39" t="s">
        <v>121</v>
      </c>
      <c r="B39" t="s">
        <v>18</v>
      </c>
      <c r="C39" t="s">
        <v>20</v>
      </c>
      <c r="D39" t="s">
        <v>122</v>
      </c>
      <c r="E39" t="s">
        <v>22</v>
      </c>
      <c r="F39" s="9">
        <v>6</v>
      </c>
      <c r="G39" s="9">
        <v>1</v>
      </c>
      <c r="H39" s="9">
        <v>5</v>
      </c>
      <c r="I39" s="9">
        <v>566</v>
      </c>
      <c r="J39" s="9">
        <v>561</v>
      </c>
      <c r="K39" t="str">
        <f t="shared" si="5"/>
        <v>HIGH</v>
      </c>
      <c r="L39" t="s">
        <v>26</v>
      </c>
    </row>
    <row r="40" spans="1:12" x14ac:dyDescent="0.25">
      <c r="A40" t="s">
        <v>1319</v>
      </c>
      <c r="B40" t="s">
        <v>789</v>
      </c>
      <c r="C40" t="s">
        <v>434</v>
      </c>
      <c r="D40" t="s">
        <v>122</v>
      </c>
      <c r="E40" t="s">
        <v>22</v>
      </c>
      <c r="F40" s="9">
        <v>7</v>
      </c>
      <c r="G40" s="9">
        <v>2</v>
      </c>
      <c r="H40" s="9">
        <v>5</v>
      </c>
      <c r="I40" s="9">
        <v>564</v>
      </c>
      <c r="J40" s="9">
        <v>559</v>
      </c>
      <c r="K40" t="str">
        <f t="shared" si="5"/>
        <v>HIGH</v>
      </c>
      <c r="L40" t="s">
        <v>26</v>
      </c>
    </row>
    <row r="41" spans="1:12" x14ac:dyDescent="0.25">
      <c r="A41" t="s">
        <v>1944</v>
      </c>
      <c r="B41" t="s">
        <v>1612</v>
      </c>
      <c r="C41" t="s">
        <v>434</v>
      </c>
      <c r="D41" t="s">
        <v>21</v>
      </c>
      <c r="E41" t="s">
        <v>22</v>
      </c>
      <c r="F41" s="9">
        <v>7</v>
      </c>
      <c r="G41" s="9">
        <v>2</v>
      </c>
      <c r="H41" s="9">
        <v>5</v>
      </c>
      <c r="I41" s="9">
        <v>563</v>
      </c>
      <c r="J41" s="9">
        <v>558</v>
      </c>
      <c r="K41" t="str">
        <f t="shared" si="5"/>
        <v>HIGH</v>
      </c>
      <c r="L41" t="s">
        <v>26</v>
      </c>
    </row>
    <row r="42" spans="1:12" x14ac:dyDescent="0.25">
      <c r="A42" t="s">
        <v>1555</v>
      </c>
      <c r="B42" t="s">
        <v>789</v>
      </c>
      <c r="C42" t="s">
        <v>601</v>
      </c>
      <c r="D42" t="s">
        <v>171</v>
      </c>
      <c r="E42" t="s">
        <v>22</v>
      </c>
      <c r="F42" s="9">
        <v>2</v>
      </c>
      <c r="G42" s="9">
        <v>0</v>
      </c>
      <c r="H42" s="9">
        <v>2</v>
      </c>
      <c r="I42" s="9">
        <v>543</v>
      </c>
      <c r="J42" s="9">
        <v>541</v>
      </c>
      <c r="K42" t="str">
        <f t="shared" si="5"/>
        <v>HIGH</v>
      </c>
      <c r="L42" t="s">
        <v>26</v>
      </c>
    </row>
    <row r="43" spans="1:12" x14ac:dyDescent="0.25">
      <c r="A43" t="s">
        <v>1253</v>
      </c>
      <c r="B43" t="s">
        <v>789</v>
      </c>
      <c r="C43" t="s">
        <v>434</v>
      </c>
      <c r="D43" t="s">
        <v>21</v>
      </c>
      <c r="E43" t="s">
        <v>22</v>
      </c>
      <c r="F43" s="9">
        <v>3</v>
      </c>
      <c r="G43" s="9">
        <v>2</v>
      </c>
      <c r="H43" s="9">
        <v>1</v>
      </c>
      <c r="I43" s="9">
        <v>534</v>
      </c>
      <c r="J43" s="9">
        <v>533</v>
      </c>
      <c r="K43" t="str">
        <f t="shared" si="5"/>
        <v>HIGH</v>
      </c>
      <c r="L43" t="s">
        <v>26</v>
      </c>
    </row>
    <row r="44" spans="1:12" x14ac:dyDescent="0.25">
      <c r="A44" t="s">
        <v>1500</v>
      </c>
      <c r="B44" t="s">
        <v>789</v>
      </c>
      <c r="C44" t="s">
        <v>601</v>
      </c>
      <c r="D44" t="s">
        <v>122</v>
      </c>
      <c r="E44" t="s">
        <v>22</v>
      </c>
      <c r="F44" s="9">
        <v>4</v>
      </c>
      <c r="G44" s="9">
        <v>0</v>
      </c>
      <c r="H44" s="9">
        <v>4</v>
      </c>
      <c r="I44" s="9">
        <v>530</v>
      </c>
      <c r="J44" s="9">
        <v>526</v>
      </c>
      <c r="K44" t="str">
        <f t="shared" si="5"/>
        <v>HIGH</v>
      </c>
      <c r="L44" t="s">
        <v>26</v>
      </c>
    </row>
    <row r="45" spans="1:12" x14ac:dyDescent="0.25">
      <c r="A45" t="s">
        <v>1710</v>
      </c>
      <c r="B45" t="s">
        <v>1612</v>
      </c>
      <c r="C45" t="s">
        <v>20</v>
      </c>
      <c r="D45" t="s">
        <v>171</v>
      </c>
      <c r="E45" t="s">
        <v>22</v>
      </c>
      <c r="F45" s="9">
        <v>4</v>
      </c>
      <c r="G45" s="9">
        <v>4</v>
      </c>
      <c r="H45" s="9">
        <v>0</v>
      </c>
      <c r="I45" s="9">
        <v>507</v>
      </c>
      <c r="J45" s="9">
        <v>507</v>
      </c>
      <c r="K45" t="str">
        <f t="shared" si="5"/>
        <v>CRITICAL</v>
      </c>
      <c r="L45" t="s">
        <v>26</v>
      </c>
    </row>
    <row r="46" spans="1:12" x14ac:dyDescent="0.25">
      <c r="A46" t="s">
        <v>735</v>
      </c>
      <c r="B46" t="s">
        <v>18</v>
      </c>
      <c r="C46" t="s">
        <v>601</v>
      </c>
      <c r="D46" t="s">
        <v>171</v>
      </c>
      <c r="E46" t="s">
        <v>22</v>
      </c>
      <c r="F46" s="9">
        <v>9</v>
      </c>
      <c r="G46" s="9">
        <v>4</v>
      </c>
      <c r="H46" s="9">
        <v>5</v>
      </c>
      <c r="I46" s="9">
        <v>498</v>
      </c>
      <c r="J46" s="9">
        <v>493</v>
      </c>
      <c r="K46" t="str">
        <f t="shared" si="5"/>
        <v>HIGH</v>
      </c>
      <c r="L46" t="s">
        <v>26</v>
      </c>
    </row>
    <row r="47" spans="1:12" x14ac:dyDescent="0.25">
      <c r="A47" t="s">
        <v>2310</v>
      </c>
      <c r="B47" t="s">
        <v>2170</v>
      </c>
      <c r="C47" t="s">
        <v>2311</v>
      </c>
      <c r="D47" t="s">
        <v>21</v>
      </c>
      <c r="E47" t="s">
        <v>22</v>
      </c>
      <c r="F47" s="9">
        <v>0</v>
      </c>
      <c r="G47" s="9">
        <v>0</v>
      </c>
      <c r="H47" s="9">
        <v>0</v>
      </c>
      <c r="I47" s="9">
        <v>487</v>
      </c>
      <c r="J47" s="9">
        <v>487</v>
      </c>
      <c r="K47" t="str">
        <f t="shared" si="5"/>
        <v>CRITICAL</v>
      </c>
      <c r="L47" t="s">
        <v>26</v>
      </c>
    </row>
    <row r="48" spans="1:12" x14ac:dyDescent="0.25">
      <c r="A48" t="s">
        <v>2550</v>
      </c>
      <c r="B48" t="s">
        <v>2170</v>
      </c>
      <c r="C48" t="s">
        <v>2460</v>
      </c>
      <c r="D48" t="s">
        <v>171</v>
      </c>
      <c r="E48" t="s">
        <v>22</v>
      </c>
      <c r="F48" s="9">
        <v>0</v>
      </c>
      <c r="G48" s="9">
        <v>0</v>
      </c>
      <c r="H48" s="9">
        <v>0</v>
      </c>
      <c r="I48" s="9">
        <v>486</v>
      </c>
      <c r="J48" s="9">
        <v>486</v>
      </c>
      <c r="K48" t="str">
        <f t="shared" si="5"/>
        <v>CRITICAL</v>
      </c>
      <c r="L48" t="s">
        <v>26</v>
      </c>
    </row>
    <row r="49" spans="1:12" x14ac:dyDescent="0.25">
      <c r="A49" t="s">
        <v>2069</v>
      </c>
      <c r="B49" t="s">
        <v>1612</v>
      </c>
      <c r="C49" t="s">
        <v>601</v>
      </c>
      <c r="D49" t="s">
        <v>21</v>
      </c>
      <c r="E49" t="s">
        <v>22</v>
      </c>
      <c r="F49" s="9">
        <v>2</v>
      </c>
      <c r="G49" s="9">
        <v>0</v>
      </c>
      <c r="H49" s="9">
        <v>2</v>
      </c>
      <c r="I49" s="9">
        <v>485</v>
      </c>
      <c r="J49" s="9">
        <v>483</v>
      </c>
      <c r="K49" t="str">
        <f t="shared" si="5"/>
        <v>HIGH</v>
      </c>
      <c r="L49" t="s">
        <v>26</v>
      </c>
    </row>
    <row r="50" spans="1:12" x14ac:dyDescent="0.25">
      <c r="A50" t="s">
        <v>2260</v>
      </c>
      <c r="B50" t="s">
        <v>2170</v>
      </c>
      <c r="C50" t="s">
        <v>2172</v>
      </c>
      <c r="D50" t="s">
        <v>171</v>
      </c>
      <c r="E50" t="s">
        <v>22</v>
      </c>
      <c r="F50" s="9">
        <v>5</v>
      </c>
      <c r="G50" s="9">
        <v>4</v>
      </c>
      <c r="H50" s="9">
        <v>1</v>
      </c>
      <c r="I50" s="9">
        <v>479</v>
      </c>
      <c r="J50" s="9">
        <v>478</v>
      </c>
      <c r="K50" t="str">
        <f t="shared" si="5"/>
        <v>HIGH</v>
      </c>
      <c r="L50" t="s">
        <v>26</v>
      </c>
    </row>
    <row r="51" spans="1:12" x14ac:dyDescent="0.25">
      <c r="A51" t="s">
        <v>1555</v>
      </c>
      <c r="B51" t="s">
        <v>789</v>
      </c>
      <c r="C51" t="s">
        <v>601</v>
      </c>
      <c r="D51" t="s">
        <v>171</v>
      </c>
      <c r="E51" t="s">
        <v>29</v>
      </c>
      <c r="F51" s="9">
        <v>169</v>
      </c>
      <c r="G51" s="9">
        <v>95</v>
      </c>
      <c r="H51" s="9">
        <v>74</v>
      </c>
      <c r="I51" s="9">
        <v>544</v>
      </c>
      <c r="J51" s="9">
        <v>470</v>
      </c>
      <c r="K51" t="str">
        <f t="shared" si="5"/>
        <v>HIGH</v>
      </c>
      <c r="L51" t="s">
        <v>26</v>
      </c>
    </row>
    <row r="52" spans="1:12" x14ac:dyDescent="0.25">
      <c r="A52" t="s">
        <v>433</v>
      </c>
      <c r="B52" t="s">
        <v>18</v>
      </c>
      <c r="C52" t="s">
        <v>434</v>
      </c>
      <c r="D52" t="s">
        <v>21</v>
      </c>
      <c r="E52" t="s">
        <v>22</v>
      </c>
      <c r="F52" s="9">
        <v>5</v>
      </c>
      <c r="G52" s="9">
        <v>1</v>
      </c>
      <c r="H52" s="9">
        <v>4</v>
      </c>
      <c r="I52" s="9">
        <v>461</v>
      </c>
      <c r="J52" s="9">
        <v>457</v>
      </c>
      <c r="K52" t="str">
        <f t="shared" si="5"/>
        <v>HIGH</v>
      </c>
      <c r="L52" t="s">
        <v>26</v>
      </c>
    </row>
    <row r="53" spans="1:12" x14ac:dyDescent="0.25">
      <c r="A53" t="s">
        <v>1611</v>
      </c>
      <c r="B53" t="s">
        <v>1612</v>
      </c>
      <c r="C53" t="s">
        <v>20</v>
      </c>
      <c r="D53" t="s">
        <v>21</v>
      </c>
      <c r="E53" t="s">
        <v>22</v>
      </c>
      <c r="F53" s="9">
        <v>6</v>
      </c>
      <c r="G53" s="9">
        <v>4</v>
      </c>
      <c r="H53" s="9">
        <v>2</v>
      </c>
      <c r="I53" s="9">
        <v>432</v>
      </c>
      <c r="J53" s="9">
        <v>430</v>
      </c>
      <c r="K53" t="str">
        <f t="shared" si="5"/>
        <v>HIGH</v>
      </c>
      <c r="L53" t="s">
        <v>26</v>
      </c>
    </row>
    <row r="54" spans="1:12" x14ac:dyDescent="0.25">
      <c r="A54" t="s">
        <v>370</v>
      </c>
      <c r="B54" t="s">
        <v>18</v>
      </c>
      <c r="C54" t="s">
        <v>229</v>
      </c>
      <c r="D54" t="s">
        <v>171</v>
      </c>
      <c r="E54" t="s">
        <v>22</v>
      </c>
      <c r="F54" s="9">
        <v>9</v>
      </c>
      <c r="G54" s="9">
        <v>4</v>
      </c>
      <c r="H54" s="9">
        <v>5</v>
      </c>
      <c r="I54" s="9">
        <v>418</v>
      </c>
      <c r="J54" s="9">
        <v>413</v>
      </c>
      <c r="K54" t="str">
        <f t="shared" si="5"/>
        <v>HIGH</v>
      </c>
      <c r="L54" t="s">
        <v>26</v>
      </c>
    </row>
    <row r="55" spans="1:12" x14ac:dyDescent="0.25">
      <c r="A55" t="s">
        <v>1103</v>
      </c>
      <c r="B55" t="s">
        <v>789</v>
      </c>
      <c r="C55" t="s">
        <v>229</v>
      </c>
      <c r="D55" t="s">
        <v>122</v>
      </c>
      <c r="E55" t="s">
        <v>22</v>
      </c>
      <c r="F55" s="9">
        <v>5</v>
      </c>
      <c r="G55" s="9">
        <v>4</v>
      </c>
      <c r="H55" s="9">
        <v>1</v>
      </c>
      <c r="I55" s="9">
        <v>404</v>
      </c>
      <c r="J55" s="9">
        <v>403</v>
      </c>
      <c r="K55" t="str">
        <f t="shared" si="5"/>
        <v>HIGH</v>
      </c>
      <c r="L55" t="s">
        <v>26</v>
      </c>
    </row>
    <row r="56" spans="1:12" x14ac:dyDescent="0.25">
      <c r="A56" t="s">
        <v>921</v>
      </c>
      <c r="B56" t="s">
        <v>789</v>
      </c>
      <c r="C56" t="s">
        <v>20</v>
      </c>
      <c r="D56" t="s">
        <v>122</v>
      </c>
      <c r="E56" t="s">
        <v>22</v>
      </c>
      <c r="F56" s="9">
        <v>5</v>
      </c>
      <c r="G56" s="9">
        <v>2</v>
      </c>
      <c r="H56" s="9">
        <v>3</v>
      </c>
      <c r="I56" s="9">
        <v>395</v>
      </c>
      <c r="J56" s="9">
        <v>392</v>
      </c>
      <c r="K56" t="str">
        <f t="shared" si="5"/>
        <v>HIGH</v>
      </c>
      <c r="L56" t="s">
        <v>26</v>
      </c>
    </row>
    <row r="57" spans="1:12" x14ac:dyDescent="0.25">
      <c r="A57" t="s">
        <v>370</v>
      </c>
      <c r="B57" t="s">
        <v>18</v>
      </c>
      <c r="C57" t="s">
        <v>229</v>
      </c>
      <c r="D57" t="s">
        <v>171</v>
      </c>
      <c r="E57" t="s">
        <v>83</v>
      </c>
      <c r="F57" s="9">
        <v>77</v>
      </c>
      <c r="G57" s="9">
        <v>76</v>
      </c>
      <c r="H57" s="9">
        <v>1</v>
      </c>
      <c r="I57" s="9">
        <v>386</v>
      </c>
      <c r="J57" s="9">
        <v>385</v>
      </c>
      <c r="K57" t="str">
        <f t="shared" si="5"/>
        <v>HIGH</v>
      </c>
      <c r="L57" t="s">
        <v>26</v>
      </c>
    </row>
    <row r="58" spans="1:12" x14ac:dyDescent="0.25">
      <c r="A58" t="s">
        <v>921</v>
      </c>
      <c r="B58" t="s">
        <v>789</v>
      </c>
      <c r="C58" t="s">
        <v>20</v>
      </c>
      <c r="D58" t="s">
        <v>122</v>
      </c>
      <c r="E58" t="s">
        <v>62</v>
      </c>
      <c r="F58" s="9">
        <v>63</v>
      </c>
      <c r="G58" s="9">
        <v>55</v>
      </c>
      <c r="H58" s="9">
        <v>8</v>
      </c>
      <c r="I58" s="9">
        <v>385</v>
      </c>
      <c r="J58" s="9">
        <v>377</v>
      </c>
      <c r="K58" t="str">
        <f t="shared" si="5"/>
        <v>HIGH</v>
      </c>
      <c r="L58" t="s">
        <v>26</v>
      </c>
    </row>
    <row r="59" spans="1:12" x14ac:dyDescent="0.25">
      <c r="A59" t="s">
        <v>170</v>
      </c>
      <c r="B59" t="s">
        <v>18</v>
      </c>
      <c r="C59" t="s">
        <v>20</v>
      </c>
      <c r="D59" t="s">
        <v>171</v>
      </c>
      <c r="E59" t="s">
        <v>22</v>
      </c>
      <c r="F59" s="9">
        <v>5</v>
      </c>
      <c r="G59" s="9">
        <v>3</v>
      </c>
      <c r="H59" s="9">
        <v>2</v>
      </c>
      <c r="I59" s="9">
        <v>373</v>
      </c>
      <c r="J59" s="9">
        <v>371</v>
      </c>
      <c r="K59" t="str">
        <f t="shared" si="5"/>
        <v>HIGH</v>
      </c>
      <c r="L59" t="s">
        <v>26</v>
      </c>
    </row>
    <row r="60" spans="1:12" x14ac:dyDescent="0.25">
      <c r="A60" t="s">
        <v>2588</v>
      </c>
      <c r="B60" t="s">
        <v>2170</v>
      </c>
      <c r="C60" t="s">
        <v>2589</v>
      </c>
      <c r="D60" t="s">
        <v>21</v>
      </c>
      <c r="E60" t="s">
        <v>22</v>
      </c>
      <c r="F60" s="9">
        <v>6</v>
      </c>
      <c r="G60" s="9">
        <v>1</v>
      </c>
      <c r="H60" s="9">
        <v>5</v>
      </c>
      <c r="I60" s="9">
        <v>376</v>
      </c>
      <c r="J60" s="9">
        <v>371</v>
      </c>
      <c r="K60" t="str">
        <f t="shared" si="5"/>
        <v>HIGH</v>
      </c>
      <c r="L60" t="s">
        <v>26</v>
      </c>
    </row>
    <row r="61" spans="1:12" x14ac:dyDescent="0.25">
      <c r="A61" t="s">
        <v>491</v>
      </c>
      <c r="B61" t="s">
        <v>18</v>
      </c>
      <c r="C61" t="s">
        <v>434</v>
      </c>
      <c r="D61" t="s">
        <v>122</v>
      </c>
      <c r="E61" t="s">
        <v>62</v>
      </c>
      <c r="F61" s="9">
        <v>112</v>
      </c>
      <c r="G61" s="9">
        <v>90</v>
      </c>
      <c r="H61" s="9">
        <v>22</v>
      </c>
      <c r="I61" s="9">
        <v>391</v>
      </c>
      <c r="J61" s="9">
        <v>369</v>
      </c>
      <c r="K61" t="str">
        <f t="shared" si="5"/>
        <v>HIGH</v>
      </c>
      <c r="L61" t="s">
        <v>26</v>
      </c>
    </row>
    <row r="62" spans="1:12" x14ac:dyDescent="0.25">
      <c r="A62" t="s">
        <v>735</v>
      </c>
      <c r="B62" t="s">
        <v>18</v>
      </c>
      <c r="C62" t="s">
        <v>601</v>
      </c>
      <c r="D62" t="s">
        <v>171</v>
      </c>
      <c r="E62" t="s">
        <v>35</v>
      </c>
      <c r="F62" s="9">
        <v>66</v>
      </c>
      <c r="G62" s="9">
        <v>66</v>
      </c>
      <c r="H62" s="9">
        <v>0</v>
      </c>
      <c r="I62" s="9">
        <v>365</v>
      </c>
      <c r="J62" s="9">
        <v>365</v>
      </c>
      <c r="K62" t="str">
        <f t="shared" si="5"/>
        <v>CRITICAL</v>
      </c>
      <c r="L62" t="s">
        <v>26</v>
      </c>
    </row>
    <row r="63" spans="1:12" x14ac:dyDescent="0.25">
      <c r="A63" t="s">
        <v>1058</v>
      </c>
      <c r="B63" t="s">
        <v>789</v>
      </c>
      <c r="C63" t="s">
        <v>229</v>
      </c>
      <c r="D63" t="s">
        <v>21</v>
      </c>
      <c r="E63" t="s">
        <v>35</v>
      </c>
      <c r="F63" s="9">
        <v>90</v>
      </c>
      <c r="G63" s="9">
        <v>66</v>
      </c>
      <c r="H63" s="9">
        <v>24</v>
      </c>
      <c r="I63" s="9">
        <v>386</v>
      </c>
      <c r="J63" s="9">
        <v>362</v>
      </c>
      <c r="K63" t="str">
        <f t="shared" si="5"/>
        <v>HIGH</v>
      </c>
      <c r="L63" t="s">
        <v>48</v>
      </c>
    </row>
    <row r="64" spans="1:12" x14ac:dyDescent="0.25">
      <c r="A64" t="s">
        <v>600</v>
      </c>
      <c r="B64" t="s">
        <v>18</v>
      </c>
      <c r="C64" t="s">
        <v>601</v>
      </c>
      <c r="D64" t="s">
        <v>21</v>
      </c>
      <c r="E64" t="s">
        <v>62</v>
      </c>
      <c r="F64" s="9">
        <v>119</v>
      </c>
      <c r="G64" s="9">
        <v>99</v>
      </c>
      <c r="H64" s="9">
        <v>20</v>
      </c>
      <c r="I64" s="9">
        <v>381</v>
      </c>
      <c r="J64" s="9">
        <v>361</v>
      </c>
      <c r="K64" t="str">
        <f t="shared" si="5"/>
        <v>HIGH</v>
      </c>
      <c r="L64" t="s">
        <v>26</v>
      </c>
    </row>
    <row r="65" spans="1:12" x14ac:dyDescent="0.25">
      <c r="A65" t="s">
        <v>228</v>
      </c>
      <c r="B65" t="s">
        <v>18</v>
      </c>
      <c r="C65" t="s">
        <v>229</v>
      </c>
      <c r="D65" t="s">
        <v>21</v>
      </c>
      <c r="E65" t="s">
        <v>62</v>
      </c>
      <c r="F65" s="9">
        <v>137</v>
      </c>
      <c r="G65" s="9">
        <v>99</v>
      </c>
      <c r="H65" s="9">
        <v>38</v>
      </c>
      <c r="I65" s="9">
        <v>395</v>
      </c>
      <c r="J65" s="9">
        <v>357</v>
      </c>
      <c r="K65" t="str">
        <f t="shared" si="5"/>
        <v>HIGH</v>
      </c>
      <c r="L65" t="s">
        <v>26</v>
      </c>
    </row>
    <row r="66" spans="1:12" x14ac:dyDescent="0.25">
      <c r="A66" t="s">
        <v>2025</v>
      </c>
      <c r="B66" t="s">
        <v>1612</v>
      </c>
      <c r="C66" t="s">
        <v>434</v>
      </c>
      <c r="D66" t="s">
        <v>171</v>
      </c>
      <c r="E66" t="s">
        <v>22</v>
      </c>
      <c r="F66" s="9">
        <v>3</v>
      </c>
      <c r="G66" s="9">
        <v>0</v>
      </c>
      <c r="H66" s="9">
        <v>3</v>
      </c>
      <c r="I66" s="9">
        <v>360</v>
      </c>
      <c r="J66" s="9">
        <v>357</v>
      </c>
      <c r="K66" t="str">
        <f t="shared" si="5"/>
        <v>HIGH</v>
      </c>
      <c r="L66" t="s">
        <v>26</v>
      </c>
    </row>
    <row r="67" spans="1:12" x14ac:dyDescent="0.25">
      <c r="A67" t="s">
        <v>735</v>
      </c>
      <c r="B67" t="s">
        <v>18</v>
      </c>
      <c r="C67" t="s">
        <v>601</v>
      </c>
      <c r="D67" t="s">
        <v>171</v>
      </c>
      <c r="E67" t="s">
        <v>62</v>
      </c>
      <c r="F67" s="9">
        <v>95</v>
      </c>
      <c r="G67" s="9">
        <v>89</v>
      </c>
      <c r="H67" s="9">
        <v>6</v>
      </c>
      <c r="I67" s="9">
        <v>358</v>
      </c>
      <c r="J67" s="9">
        <v>352</v>
      </c>
      <c r="K67" t="str">
        <f t="shared" si="5"/>
        <v>HIGH</v>
      </c>
      <c r="L67" t="s">
        <v>26</v>
      </c>
    </row>
    <row r="68" spans="1:12" x14ac:dyDescent="0.25">
      <c r="A68" t="s">
        <v>554</v>
      </c>
      <c r="B68" t="s">
        <v>18</v>
      </c>
      <c r="C68" t="s">
        <v>434</v>
      </c>
      <c r="D68" t="s">
        <v>171</v>
      </c>
      <c r="E68" t="s">
        <v>22</v>
      </c>
      <c r="F68" s="9">
        <v>2</v>
      </c>
      <c r="G68" s="9">
        <v>0</v>
      </c>
      <c r="H68" s="9">
        <v>2</v>
      </c>
      <c r="I68" s="9">
        <v>353</v>
      </c>
      <c r="J68" s="9">
        <v>351</v>
      </c>
      <c r="K68" t="str">
        <f t="shared" si="5"/>
        <v>HIGH</v>
      </c>
      <c r="L68" t="s">
        <v>26</v>
      </c>
    </row>
    <row r="69" spans="1:12" x14ac:dyDescent="0.25">
      <c r="A69" t="s">
        <v>855</v>
      </c>
      <c r="B69" t="s">
        <v>789</v>
      </c>
      <c r="C69" t="s">
        <v>20</v>
      </c>
      <c r="D69" t="s">
        <v>21</v>
      </c>
      <c r="E69" t="s">
        <v>22</v>
      </c>
      <c r="F69" s="9">
        <v>9</v>
      </c>
      <c r="G69" s="9">
        <v>4</v>
      </c>
      <c r="H69" s="9">
        <v>5</v>
      </c>
      <c r="I69" s="9">
        <v>355</v>
      </c>
      <c r="J69" s="9">
        <v>350</v>
      </c>
      <c r="K69" t="str">
        <f t="shared" si="5"/>
        <v>HIGH</v>
      </c>
      <c r="L69" t="s">
        <v>26</v>
      </c>
    </row>
    <row r="70" spans="1:12" x14ac:dyDescent="0.25">
      <c r="A70" t="s">
        <v>1184</v>
      </c>
      <c r="B70" t="s">
        <v>789</v>
      </c>
      <c r="C70" t="s">
        <v>229</v>
      </c>
      <c r="D70" t="s">
        <v>171</v>
      </c>
      <c r="E70" t="s">
        <v>29</v>
      </c>
      <c r="F70" s="9">
        <v>111</v>
      </c>
      <c r="G70" s="9">
        <v>80</v>
      </c>
      <c r="H70" s="9">
        <v>31</v>
      </c>
      <c r="I70" s="9">
        <v>378</v>
      </c>
      <c r="J70" s="9">
        <v>347</v>
      </c>
      <c r="K70" t="str">
        <f t="shared" si="5"/>
        <v>HIGH</v>
      </c>
      <c r="L70" t="s">
        <v>26</v>
      </c>
    </row>
    <row r="71" spans="1:12" x14ac:dyDescent="0.25">
      <c r="A71" t="s">
        <v>1184</v>
      </c>
      <c r="B71" t="s">
        <v>789</v>
      </c>
      <c r="C71" t="s">
        <v>229</v>
      </c>
      <c r="D71" t="s">
        <v>171</v>
      </c>
      <c r="E71" t="s">
        <v>62</v>
      </c>
      <c r="F71" s="9">
        <v>89</v>
      </c>
      <c r="G71" s="9">
        <v>68</v>
      </c>
      <c r="H71" s="9">
        <v>21</v>
      </c>
      <c r="I71" s="9">
        <v>361</v>
      </c>
      <c r="J71" s="9">
        <v>340</v>
      </c>
      <c r="K71" t="str">
        <f t="shared" si="5"/>
        <v>HIGH</v>
      </c>
      <c r="L71" t="s">
        <v>26</v>
      </c>
    </row>
    <row r="72" spans="1:12" x14ac:dyDescent="0.25">
      <c r="A72" t="s">
        <v>2459</v>
      </c>
      <c r="B72" t="s">
        <v>2170</v>
      </c>
      <c r="C72" t="s">
        <v>2460</v>
      </c>
      <c r="D72" t="s">
        <v>21</v>
      </c>
      <c r="E72" t="s">
        <v>22</v>
      </c>
      <c r="F72" s="9">
        <v>6</v>
      </c>
      <c r="G72" s="9">
        <v>1</v>
      </c>
      <c r="H72" s="9">
        <v>5</v>
      </c>
      <c r="I72" s="9">
        <v>344</v>
      </c>
      <c r="J72" s="9">
        <v>339</v>
      </c>
      <c r="K72" t="str">
        <f t="shared" si="5"/>
        <v>HIGH</v>
      </c>
      <c r="L72" t="s">
        <v>26</v>
      </c>
    </row>
    <row r="73" spans="1:12" x14ac:dyDescent="0.25">
      <c r="A73" t="s">
        <v>1465</v>
      </c>
      <c r="B73" t="s">
        <v>789</v>
      </c>
      <c r="C73" t="s">
        <v>601</v>
      </c>
      <c r="D73" t="s">
        <v>21</v>
      </c>
      <c r="E73" t="s">
        <v>35</v>
      </c>
      <c r="F73" s="9">
        <v>115</v>
      </c>
      <c r="G73" s="9">
        <v>70</v>
      </c>
      <c r="H73" s="9">
        <v>45</v>
      </c>
      <c r="I73" s="9">
        <v>380</v>
      </c>
      <c r="J73" s="9">
        <v>335</v>
      </c>
      <c r="K73" t="str">
        <f t="shared" si="5"/>
        <v>HIGH</v>
      </c>
      <c r="L73" t="s">
        <v>26</v>
      </c>
    </row>
    <row r="74" spans="1:12" x14ac:dyDescent="0.25">
      <c r="A74" t="s">
        <v>491</v>
      </c>
      <c r="B74" t="s">
        <v>18</v>
      </c>
      <c r="C74" t="s">
        <v>434</v>
      </c>
      <c r="D74" t="s">
        <v>122</v>
      </c>
      <c r="E74" t="s">
        <v>62</v>
      </c>
      <c r="F74" s="9">
        <v>85</v>
      </c>
      <c r="G74" s="9">
        <v>37</v>
      </c>
      <c r="H74" s="9">
        <v>48</v>
      </c>
      <c r="I74" s="9">
        <v>380</v>
      </c>
      <c r="J74" s="9">
        <v>332</v>
      </c>
      <c r="K74" t="str">
        <f t="shared" si="5"/>
        <v>HIGH</v>
      </c>
      <c r="L74" t="s">
        <v>26</v>
      </c>
    </row>
    <row r="75" spans="1:12" x14ac:dyDescent="0.25">
      <c r="A75" t="s">
        <v>1555</v>
      </c>
      <c r="B75" t="s">
        <v>789</v>
      </c>
      <c r="C75" t="s">
        <v>601</v>
      </c>
      <c r="D75" t="s">
        <v>171</v>
      </c>
      <c r="E75" t="s">
        <v>62</v>
      </c>
      <c r="F75" s="9">
        <v>66</v>
      </c>
      <c r="G75" s="9">
        <v>10</v>
      </c>
      <c r="H75" s="9">
        <v>56</v>
      </c>
      <c r="I75" s="9">
        <v>387</v>
      </c>
      <c r="J75" s="9">
        <v>331</v>
      </c>
      <c r="K75" t="str">
        <f t="shared" si="5"/>
        <v>HIGH</v>
      </c>
      <c r="L75" t="s">
        <v>26</v>
      </c>
    </row>
    <row r="76" spans="1:12" x14ac:dyDescent="0.25">
      <c r="A76" t="s">
        <v>600</v>
      </c>
      <c r="B76" t="s">
        <v>18</v>
      </c>
      <c r="C76" t="s">
        <v>601</v>
      </c>
      <c r="D76" t="s">
        <v>21</v>
      </c>
      <c r="E76" t="s">
        <v>22</v>
      </c>
      <c r="F76" s="9">
        <v>6</v>
      </c>
      <c r="G76" s="9">
        <v>2</v>
      </c>
      <c r="H76" s="9">
        <v>4</v>
      </c>
      <c r="I76" s="9">
        <v>332</v>
      </c>
      <c r="J76" s="9">
        <v>328</v>
      </c>
      <c r="K76" t="str">
        <f t="shared" si="5"/>
        <v>HIGH</v>
      </c>
      <c r="L76" t="s">
        <v>26</v>
      </c>
    </row>
    <row r="77" spans="1:12" x14ac:dyDescent="0.25">
      <c r="A77" t="s">
        <v>554</v>
      </c>
      <c r="B77" t="s">
        <v>18</v>
      </c>
      <c r="C77" t="s">
        <v>434</v>
      </c>
      <c r="D77" t="s">
        <v>171</v>
      </c>
      <c r="E77" t="s">
        <v>62</v>
      </c>
      <c r="F77" s="9">
        <v>110</v>
      </c>
      <c r="G77" s="9">
        <v>92</v>
      </c>
      <c r="H77" s="9">
        <v>18</v>
      </c>
      <c r="I77" s="9">
        <v>341</v>
      </c>
      <c r="J77" s="9">
        <v>323</v>
      </c>
      <c r="K77" t="str">
        <f t="shared" si="5"/>
        <v>HIGH</v>
      </c>
      <c r="L77" t="s">
        <v>26</v>
      </c>
    </row>
    <row r="78" spans="1:12" x14ac:dyDescent="0.25">
      <c r="A78" t="s">
        <v>855</v>
      </c>
      <c r="B78" t="s">
        <v>789</v>
      </c>
      <c r="C78" t="s">
        <v>20</v>
      </c>
      <c r="D78" t="s">
        <v>21</v>
      </c>
      <c r="E78" t="s">
        <v>62</v>
      </c>
      <c r="F78" s="9">
        <v>54</v>
      </c>
      <c r="G78" s="9">
        <v>31</v>
      </c>
      <c r="H78" s="9">
        <v>23</v>
      </c>
      <c r="I78" s="9">
        <v>341</v>
      </c>
      <c r="J78" s="9">
        <v>318</v>
      </c>
      <c r="K78" t="str">
        <f t="shared" si="5"/>
        <v>HIGH</v>
      </c>
      <c r="L78" t="s">
        <v>26</v>
      </c>
    </row>
    <row r="79" spans="1:12" x14ac:dyDescent="0.25">
      <c r="A79" t="s">
        <v>170</v>
      </c>
      <c r="B79" t="s">
        <v>18</v>
      </c>
      <c r="C79" t="s">
        <v>20</v>
      </c>
      <c r="D79" t="s">
        <v>171</v>
      </c>
      <c r="E79" t="s">
        <v>35</v>
      </c>
      <c r="F79" s="9">
        <v>87</v>
      </c>
      <c r="G79" s="9">
        <v>24</v>
      </c>
      <c r="H79" s="9">
        <v>63</v>
      </c>
      <c r="I79" s="9">
        <v>379</v>
      </c>
      <c r="J79" s="9">
        <v>316</v>
      </c>
      <c r="K79" t="str">
        <f t="shared" si="5"/>
        <v>HIGH</v>
      </c>
      <c r="L79" t="s">
        <v>48</v>
      </c>
    </row>
    <row r="80" spans="1:12" x14ac:dyDescent="0.25">
      <c r="A80" t="s">
        <v>228</v>
      </c>
      <c r="B80" t="s">
        <v>18</v>
      </c>
      <c r="C80" t="s">
        <v>229</v>
      </c>
      <c r="D80" t="s">
        <v>21</v>
      </c>
      <c r="E80" t="s">
        <v>83</v>
      </c>
      <c r="F80" s="9">
        <v>134</v>
      </c>
      <c r="G80" s="9">
        <v>54</v>
      </c>
      <c r="H80" s="9">
        <v>80</v>
      </c>
      <c r="I80" s="9">
        <v>395</v>
      </c>
      <c r="J80" s="9">
        <v>315</v>
      </c>
      <c r="K80" t="str">
        <f t="shared" si="5"/>
        <v>HIGH</v>
      </c>
      <c r="L80" t="s">
        <v>26</v>
      </c>
    </row>
    <row r="81" spans="1:12" x14ac:dyDescent="0.25">
      <c r="A81" t="s">
        <v>1184</v>
      </c>
      <c r="B81" t="s">
        <v>789</v>
      </c>
      <c r="C81" t="s">
        <v>229</v>
      </c>
      <c r="D81" t="s">
        <v>171</v>
      </c>
      <c r="E81" t="s">
        <v>35</v>
      </c>
      <c r="F81" s="9">
        <v>114</v>
      </c>
      <c r="G81" s="9">
        <v>85</v>
      </c>
      <c r="H81" s="9">
        <v>29</v>
      </c>
      <c r="I81" s="9">
        <v>344</v>
      </c>
      <c r="J81" s="9">
        <v>315</v>
      </c>
      <c r="K81" t="str">
        <f t="shared" si="5"/>
        <v>HIGH</v>
      </c>
      <c r="L81" t="s">
        <v>48</v>
      </c>
    </row>
    <row r="82" spans="1:12" x14ac:dyDescent="0.25">
      <c r="A82" t="s">
        <v>1319</v>
      </c>
      <c r="B82" t="s">
        <v>789</v>
      </c>
      <c r="C82" t="s">
        <v>434</v>
      </c>
      <c r="D82" t="s">
        <v>122</v>
      </c>
      <c r="E82" t="s">
        <v>62</v>
      </c>
      <c r="F82" s="9">
        <v>89</v>
      </c>
      <c r="G82" s="9">
        <v>90</v>
      </c>
      <c r="H82" s="9">
        <v>0</v>
      </c>
      <c r="I82" s="9">
        <v>315</v>
      </c>
      <c r="J82" s="9">
        <v>315</v>
      </c>
      <c r="K82" t="str">
        <f t="shared" si="5"/>
        <v>CRITICAL</v>
      </c>
      <c r="L82" t="s">
        <v>26</v>
      </c>
    </row>
    <row r="83" spans="1:12" x14ac:dyDescent="0.25">
      <c r="A83" t="s">
        <v>993</v>
      </c>
      <c r="B83" t="s">
        <v>789</v>
      </c>
      <c r="C83" t="s">
        <v>20</v>
      </c>
      <c r="D83" t="s">
        <v>171</v>
      </c>
      <c r="E83" t="s">
        <v>62</v>
      </c>
      <c r="F83" s="9">
        <v>73</v>
      </c>
      <c r="G83" s="9">
        <v>22</v>
      </c>
      <c r="H83" s="9">
        <v>51</v>
      </c>
      <c r="I83" s="9">
        <v>363</v>
      </c>
      <c r="J83" s="9">
        <v>312</v>
      </c>
      <c r="K83" t="str">
        <f t="shared" si="5"/>
        <v>HIGH</v>
      </c>
      <c r="L83" t="s">
        <v>48</v>
      </c>
    </row>
    <row r="84" spans="1:12" x14ac:dyDescent="0.25">
      <c r="A84" t="s">
        <v>1058</v>
      </c>
      <c r="B84" t="s">
        <v>789</v>
      </c>
      <c r="C84" t="s">
        <v>229</v>
      </c>
      <c r="D84" t="s">
        <v>21</v>
      </c>
      <c r="E84" t="s">
        <v>35</v>
      </c>
      <c r="F84" s="9">
        <v>158</v>
      </c>
      <c r="G84" s="9">
        <v>79</v>
      </c>
      <c r="H84" s="9">
        <v>79</v>
      </c>
      <c r="I84" s="9">
        <v>391</v>
      </c>
      <c r="J84" s="9">
        <v>312</v>
      </c>
      <c r="K84" t="str">
        <f t="shared" si="5"/>
        <v>HIGH</v>
      </c>
      <c r="L84" t="s">
        <v>26</v>
      </c>
    </row>
    <row r="85" spans="1:12" x14ac:dyDescent="0.25">
      <c r="A85" t="s">
        <v>1253</v>
      </c>
      <c r="B85" t="s">
        <v>789</v>
      </c>
      <c r="C85" t="s">
        <v>434</v>
      </c>
      <c r="D85" t="s">
        <v>21</v>
      </c>
      <c r="E85" t="s">
        <v>35</v>
      </c>
      <c r="F85" s="9">
        <v>80</v>
      </c>
      <c r="G85" s="9">
        <v>64</v>
      </c>
      <c r="H85" s="9">
        <v>16</v>
      </c>
      <c r="I85" s="9">
        <v>327</v>
      </c>
      <c r="J85" s="9">
        <v>311</v>
      </c>
      <c r="K85" t="str">
        <f t="shared" si="5"/>
        <v>HIGH</v>
      </c>
      <c r="L85" t="s">
        <v>26</v>
      </c>
    </row>
    <row r="86" spans="1:12" x14ac:dyDescent="0.25">
      <c r="A86" t="s">
        <v>1035</v>
      </c>
      <c r="B86" t="s">
        <v>789</v>
      </c>
      <c r="C86" t="s">
        <v>20</v>
      </c>
      <c r="D86" t="s">
        <v>830</v>
      </c>
      <c r="E86" t="s">
        <v>29</v>
      </c>
      <c r="F86" s="9">
        <v>67</v>
      </c>
      <c r="G86" s="9">
        <v>7</v>
      </c>
      <c r="H86" s="9">
        <v>60</v>
      </c>
      <c r="I86" s="9">
        <v>369</v>
      </c>
      <c r="J86" s="9">
        <v>309</v>
      </c>
      <c r="K86" t="str">
        <f t="shared" si="5"/>
        <v>HIGH</v>
      </c>
      <c r="L86" t="s">
        <v>26</v>
      </c>
    </row>
    <row r="87" spans="1:12" x14ac:dyDescent="0.25">
      <c r="A87" t="s">
        <v>1058</v>
      </c>
      <c r="B87" t="s">
        <v>789</v>
      </c>
      <c r="C87" t="s">
        <v>229</v>
      </c>
      <c r="D87" t="s">
        <v>21</v>
      </c>
      <c r="E87" t="s">
        <v>62</v>
      </c>
      <c r="F87" s="9">
        <v>120</v>
      </c>
      <c r="G87" s="9">
        <v>79</v>
      </c>
      <c r="H87" s="9">
        <v>41</v>
      </c>
      <c r="I87" s="9">
        <v>350</v>
      </c>
      <c r="J87" s="9">
        <v>309</v>
      </c>
      <c r="K87" t="str">
        <f t="shared" si="5"/>
        <v>HIGH</v>
      </c>
      <c r="L87" t="s">
        <v>48</v>
      </c>
    </row>
    <row r="88" spans="1:12" x14ac:dyDescent="0.25">
      <c r="A88" t="s">
        <v>1400</v>
      </c>
      <c r="B88" t="s">
        <v>789</v>
      </c>
      <c r="C88" t="s">
        <v>434</v>
      </c>
      <c r="D88" t="s">
        <v>171</v>
      </c>
      <c r="E88" t="s">
        <v>35</v>
      </c>
      <c r="F88" s="9">
        <v>88</v>
      </c>
      <c r="G88" s="9">
        <v>44</v>
      </c>
      <c r="H88" s="9">
        <v>44</v>
      </c>
      <c r="I88" s="9">
        <v>350</v>
      </c>
      <c r="J88" s="9">
        <v>306</v>
      </c>
      <c r="K88" t="str">
        <f t="shared" si="5"/>
        <v>HIGH</v>
      </c>
      <c r="L88" t="s">
        <v>26</v>
      </c>
    </row>
    <row r="89" spans="1:12" x14ac:dyDescent="0.25">
      <c r="A89" t="s">
        <v>1400</v>
      </c>
      <c r="B89" t="s">
        <v>789</v>
      </c>
      <c r="C89" t="s">
        <v>434</v>
      </c>
      <c r="D89" t="s">
        <v>171</v>
      </c>
      <c r="E89" t="s">
        <v>29</v>
      </c>
      <c r="F89" s="9">
        <v>163</v>
      </c>
      <c r="G89" s="9">
        <v>13</v>
      </c>
      <c r="H89" s="9">
        <v>150</v>
      </c>
      <c r="I89" s="9">
        <v>455</v>
      </c>
      <c r="J89" s="9">
        <v>305</v>
      </c>
      <c r="K89" t="str">
        <f t="shared" si="5"/>
        <v>HIGH</v>
      </c>
      <c r="L89" t="s">
        <v>26</v>
      </c>
    </row>
    <row r="90" spans="1:12" x14ac:dyDescent="0.25">
      <c r="A90" t="s">
        <v>1184</v>
      </c>
      <c r="B90" t="s">
        <v>789</v>
      </c>
      <c r="C90" t="s">
        <v>229</v>
      </c>
      <c r="D90" t="s">
        <v>171</v>
      </c>
      <c r="E90" t="s">
        <v>22</v>
      </c>
      <c r="F90" s="9">
        <v>0</v>
      </c>
      <c r="G90" s="9">
        <v>0</v>
      </c>
      <c r="H90" s="9">
        <v>0</v>
      </c>
      <c r="I90" s="9">
        <v>304</v>
      </c>
      <c r="J90" s="9">
        <v>304</v>
      </c>
      <c r="K90" t="str">
        <f t="shared" si="5"/>
        <v>CRITICAL</v>
      </c>
      <c r="L90" t="s">
        <v>26</v>
      </c>
    </row>
    <row r="91" spans="1:12" x14ac:dyDescent="0.25">
      <c r="A91" t="s">
        <v>1253</v>
      </c>
      <c r="B91" t="s">
        <v>789</v>
      </c>
      <c r="C91" t="s">
        <v>434</v>
      </c>
      <c r="D91" t="s">
        <v>21</v>
      </c>
      <c r="E91" t="s">
        <v>35</v>
      </c>
      <c r="F91" s="9">
        <v>122</v>
      </c>
      <c r="G91" s="9">
        <v>27</v>
      </c>
      <c r="H91" s="9">
        <v>95</v>
      </c>
      <c r="I91" s="9">
        <v>399</v>
      </c>
      <c r="J91" s="9">
        <v>304</v>
      </c>
      <c r="K91" t="str">
        <f t="shared" si="5"/>
        <v>HIGH</v>
      </c>
      <c r="L91" t="s">
        <v>26</v>
      </c>
    </row>
    <row r="92" spans="1:12" x14ac:dyDescent="0.25">
      <c r="A92" t="s">
        <v>433</v>
      </c>
      <c r="B92" t="s">
        <v>18</v>
      </c>
      <c r="C92" t="s">
        <v>434</v>
      </c>
      <c r="D92" t="s">
        <v>21</v>
      </c>
      <c r="E92" t="s">
        <v>62</v>
      </c>
      <c r="F92" s="9">
        <v>156</v>
      </c>
      <c r="G92" s="9">
        <v>98</v>
      </c>
      <c r="H92" s="9">
        <v>58</v>
      </c>
      <c r="I92" s="9">
        <v>361</v>
      </c>
      <c r="J92" s="9">
        <v>303</v>
      </c>
      <c r="K92" t="str">
        <f t="shared" si="5"/>
        <v>HIGH</v>
      </c>
      <c r="L92" t="s">
        <v>26</v>
      </c>
    </row>
    <row r="93" spans="1:12" x14ac:dyDescent="0.25">
      <c r="A93" t="s">
        <v>921</v>
      </c>
      <c r="B93" t="s">
        <v>789</v>
      </c>
      <c r="C93" t="s">
        <v>20</v>
      </c>
      <c r="D93" t="s">
        <v>122</v>
      </c>
      <c r="E93" t="s">
        <v>83</v>
      </c>
      <c r="F93" s="9">
        <v>91</v>
      </c>
      <c r="G93" s="9">
        <v>75</v>
      </c>
      <c r="H93" s="9">
        <v>16</v>
      </c>
      <c r="I93" s="9">
        <v>319</v>
      </c>
      <c r="J93" s="9">
        <v>303</v>
      </c>
      <c r="K93" t="str">
        <f t="shared" si="5"/>
        <v>HIGH</v>
      </c>
      <c r="L93" t="s">
        <v>26</v>
      </c>
    </row>
    <row r="94" spans="1:12" x14ac:dyDescent="0.25">
      <c r="A94" t="s">
        <v>961</v>
      </c>
      <c r="B94" t="s">
        <v>789</v>
      </c>
      <c r="C94" t="s">
        <v>20</v>
      </c>
      <c r="D94" t="s">
        <v>790</v>
      </c>
      <c r="E94" t="s">
        <v>35</v>
      </c>
      <c r="F94" s="9">
        <v>70</v>
      </c>
      <c r="G94" s="9">
        <v>4</v>
      </c>
      <c r="H94" s="9">
        <v>66</v>
      </c>
      <c r="I94" s="9">
        <v>368</v>
      </c>
      <c r="J94" s="9">
        <v>302</v>
      </c>
      <c r="K94" t="str">
        <f t="shared" si="5"/>
        <v>HIGH</v>
      </c>
      <c r="L94" t="s">
        <v>26</v>
      </c>
    </row>
    <row r="95" spans="1:12" x14ac:dyDescent="0.25">
      <c r="A95" t="s">
        <v>2416</v>
      </c>
      <c r="B95" t="s">
        <v>2170</v>
      </c>
      <c r="C95" t="s">
        <v>2311</v>
      </c>
      <c r="D95" t="s">
        <v>171</v>
      </c>
      <c r="E95" t="s">
        <v>22</v>
      </c>
      <c r="F95" s="9">
        <v>9</v>
      </c>
      <c r="G95" s="9">
        <v>4</v>
      </c>
      <c r="H95" s="9">
        <v>5</v>
      </c>
      <c r="I95" s="9">
        <v>307</v>
      </c>
      <c r="J95" s="9">
        <v>302</v>
      </c>
      <c r="K95" t="str">
        <f t="shared" si="5"/>
        <v>HIGH</v>
      </c>
      <c r="L95" t="s">
        <v>26</v>
      </c>
    </row>
    <row r="96" spans="1:12" x14ac:dyDescent="0.25">
      <c r="A96" t="s">
        <v>1253</v>
      </c>
      <c r="B96" t="s">
        <v>789</v>
      </c>
      <c r="C96" t="s">
        <v>434</v>
      </c>
      <c r="D96" t="s">
        <v>21</v>
      </c>
      <c r="E96" t="s">
        <v>35</v>
      </c>
      <c r="F96" s="9">
        <v>76</v>
      </c>
      <c r="G96" s="9">
        <v>52</v>
      </c>
      <c r="H96" s="9">
        <v>24</v>
      </c>
      <c r="I96" s="9">
        <v>324</v>
      </c>
      <c r="J96" s="9">
        <v>300</v>
      </c>
      <c r="K96" t="str">
        <f t="shared" si="5"/>
        <v>HIGH</v>
      </c>
      <c r="L96" t="s">
        <v>48</v>
      </c>
    </row>
    <row r="97" spans="1:12" x14ac:dyDescent="0.25">
      <c r="A97" t="s">
        <v>1253</v>
      </c>
      <c r="B97" t="s">
        <v>789</v>
      </c>
      <c r="C97" t="s">
        <v>434</v>
      </c>
      <c r="D97" t="s">
        <v>21</v>
      </c>
      <c r="E97" t="s">
        <v>35</v>
      </c>
      <c r="F97" s="9">
        <v>129</v>
      </c>
      <c r="G97" s="9">
        <v>65</v>
      </c>
      <c r="H97" s="9">
        <v>64</v>
      </c>
      <c r="I97" s="9">
        <v>364</v>
      </c>
      <c r="J97" s="9">
        <v>300</v>
      </c>
      <c r="K97" t="str">
        <f t="shared" ref="K97:K160" si="6">IF(H97=0,"CRITICAL",IF(J97&gt;200,"HIGH","MEDIUM"))</f>
        <v>HIGH</v>
      </c>
      <c r="L97" t="s">
        <v>26</v>
      </c>
    </row>
    <row r="98" spans="1:12" x14ac:dyDescent="0.25">
      <c r="A98" t="s">
        <v>1172</v>
      </c>
      <c r="B98" t="s">
        <v>789</v>
      </c>
      <c r="C98" t="s">
        <v>229</v>
      </c>
      <c r="D98" t="s">
        <v>817</v>
      </c>
      <c r="E98" t="s">
        <v>29</v>
      </c>
      <c r="F98" s="9">
        <v>66</v>
      </c>
      <c r="G98" s="9">
        <v>3</v>
      </c>
      <c r="H98" s="9">
        <v>63</v>
      </c>
      <c r="I98" s="9">
        <v>361</v>
      </c>
      <c r="J98" s="9">
        <v>298</v>
      </c>
      <c r="K98" t="str">
        <f t="shared" si="6"/>
        <v>HIGH</v>
      </c>
      <c r="L98" t="s">
        <v>26</v>
      </c>
    </row>
    <row r="99" spans="1:12" x14ac:dyDescent="0.25">
      <c r="A99" t="s">
        <v>675</v>
      </c>
      <c r="B99" t="s">
        <v>18</v>
      </c>
      <c r="C99" t="s">
        <v>601</v>
      </c>
      <c r="D99" t="s">
        <v>122</v>
      </c>
      <c r="E99" t="s">
        <v>35</v>
      </c>
      <c r="F99" s="9">
        <v>118</v>
      </c>
      <c r="G99" s="9">
        <v>30</v>
      </c>
      <c r="H99" s="9">
        <v>88</v>
      </c>
      <c r="I99" s="9">
        <v>385</v>
      </c>
      <c r="J99" s="9">
        <v>297</v>
      </c>
      <c r="K99" t="str">
        <f t="shared" si="6"/>
        <v>HIGH</v>
      </c>
      <c r="L99" t="s">
        <v>48</v>
      </c>
    </row>
    <row r="100" spans="1:12" x14ac:dyDescent="0.25">
      <c r="A100" t="s">
        <v>370</v>
      </c>
      <c r="B100" t="s">
        <v>18</v>
      </c>
      <c r="C100" t="s">
        <v>229</v>
      </c>
      <c r="D100" t="s">
        <v>171</v>
      </c>
      <c r="E100" t="s">
        <v>62</v>
      </c>
      <c r="F100" s="9">
        <v>132</v>
      </c>
      <c r="G100" s="9">
        <v>74</v>
      </c>
      <c r="H100" s="9">
        <v>58</v>
      </c>
      <c r="I100" s="9">
        <v>354</v>
      </c>
      <c r="J100" s="9">
        <v>296</v>
      </c>
      <c r="K100" t="str">
        <f t="shared" si="6"/>
        <v>HIGH</v>
      </c>
      <c r="L100" t="s">
        <v>48</v>
      </c>
    </row>
    <row r="101" spans="1:12" x14ac:dyDescent="0.25">
      <c r="A101" t="s">
        <v>1103</v>
      </c>
      <c r="B101" t="s">
        <v>789</v>
      </c>
      <c r="C101" t="s">
        <v>229</v>
      </c>
      <c r="D101" t="s">
        <v>122</v>
      </c>
      <c r="E101" t="s">
        <v>62</v>
      </c>
      <c r="F101" s="9">
        <v>128</v>
      </c>
      <c r="G101" s="9">
        <v>96</v>
      </c>
      <c r="H101" s="9">
        <v>32</v>
      </c>
      <c r="I101" s="9">
        <v>328</v>
      </c>
      <c r="J101" s="9">
        <v>296</v>
      </c>
      <c r="K101" t="str">
        <f t="shared" si="6"/>
        <v>HIGH</v>
      </c>
      <c r="L101" t="s">
        <v>26</v>
      </c>
    </row>
    <row r="102" spans="1:12" x14ac:dyDescent="0.25">
      <c r="A102" t="s">
        <v>1400</v>
      </c>
      <c r="B102" t="s">
        <v>789</v>
      </c>
      <c r="C102" t="s">
        <v>434</v>
      </c>
      <c r="D102" t="s">
        <v>171</v>
      </c>
      <c r="E102" t="s">
        <v>83</v>
      </c>
      <c r="F102" s="9">
        <v>90</v>
      </c>
      <c r="G102" s="9">
        <v>73</v>
      </c>
      <c r="H102" s="9">
        <v>17</v>
      </c>
      <c r="I102" s="9">
        <v>313</v>
      </c>
      <c r="J102" s="9">
        <v>296</v>
      </c>
      <c r="K102" t="str">
        <f t="shared" si="6"/>
        <v>HIGH</v>
      </c>
      <c r="L102" t="s">
        <v>26</v>
      </c>
    </row>
    <row r="103" spans="1:12" x14ac:dyDescent="0.25">
      <c r="A103" t="s">
        <v>1500</v>
      </c>
      <c r="B103" t="s">
        <v>789</v>
      </c>
      <c r="C103" t="s">
        <v>601</v>
      </c>
      <c r="D103" t="s">
        <v>122</v>
      </c>
      <c r="E103" t="s">
        <v>35</v>
      </c>
      <c r="F103" s="9">
        <v>70</v>
      </c>
      <c r="G103" s="9">
        <v>70</v>
      </c>
      <c r="H103" s="9">
        <v>0</v>
      </c>
      <c r="I103" s="9">
        <v>295</v>
      </c>
      <c r="J103" s="9">
        <v>295</v>
      </c>
      <c r="K103" t="str">
        <f t="shared" si="6"/>
        <v>CRITICAL</v>
      </c>
      <c r="L103" t="s">
        <v>26</v>
      </c>
    </row>
    <row r="104" spans="1:12" x14ac:dyDescent="0.25">
      <c r="A104" t="s">
        <v>675</v>
      </c>
      <c r="B104" t="s">
        <v>18</v>
      </c>
      <c r="C104" t="s">
        <v>601</v>
      </c>
      <c r="D104" t="s">
        <v>122</v>
      </c>
      <c r="E104" t="s">
        <v>62</v>
      </c>
      <c r="F104" s="9">
        <v>127</v>
      </c>
      <c r="G104" s="9">
        <v>71</v>
      </c>
      <c r="H104" s="9">
        <v>56</v>
      </c>
      <c r="I104" s="9">
        <v>350</v>
      </c>
      <c r="J104" s="9">
        <v>294</v>
      </c>
      <c r="K104" t="str">
        <f t="shared" si="6"/>
        <v>HIGH</v>
      </c>
      <c r="L104" t="s">
        <v>48</v>
      </c>
    </row>
    <row r="105" spans="1:12" x14ac:dyDescent="0.25">
      <c r="A105" t="s">
        <v>228</v>
      </c>
      <c r="B105" t="s">
        <v>18</v>
      </c>
      <c r="C105" t="s">
        <v>229</v>
      </c>
      <c r="D105" t="s">
        <v>21</v>
      </c>
      <c r="E105" t="s">
        <v>22</v>
      </c>
      <c r="F105" s="9">
        <v>9</v>
      </c>
      <c r="G105" s="9">
        <v>4</v>
      </c>
      <c r="H105" s="9">
        <v>5</v>
      </c>
      <c r="I105" s="9">
        <v>294</v>
      </c>
      <c r="J105" s="9">
        <v>289</v>
      </c>
      <c r="K105" t="str">
        <f t="shared" si="6"/>
        <v>HIGH</v>
      </c>
      <c r="L105" t="s">
        <v>26</v>
      </c>
    </row>
    <row r="106" spans="1:12" x14ac:dyDescent="0.25">
      <c r="A106" t="s">
        <v>1389</v>
      </c>
      <c r="B106" t="s">
        <v>789</v>
      </c>
      <c r="C106" t="s">
        <v>434</v>
      </c>
      <c r="D106" t="s">
        <v>817</v>
      </c>
      <c r="E106" t="s">
        <v>62</v>
      </c>
      <c r="F106" s="9">
        <v>110</v>
      </c>
      <c r="G106" s="9">
        <v>3</v>
      </c>
      <c r="H106" s="9">
        <v>107</v>
      </c>
      <c r="I106" s="9">
        <v>396</v>
      </c>
      <c r="J106" s="9">
        <v>289</v>
      </c>
      <c r="K106" t="str">
        <f t="shared" si="6"/>
        <v>HIGH</v>
      </c>
      <c r="L106" t="s">
        <v>26</v>
      </c>
    </row>
    <row r="107" spans="1:12" x14ac:dyDescent="0.25">
      <c r="A107" t="s">
        <v>1555</v>
      </c>
      <c r="B107" t="s">
        <v>789</v>
      </c>
      <c r="C107" t="s">
        <v>601</v>
      </c>
      <c r="D107" t="s">
        <v>171</v>
      </c>
      <c r="E107" t="s">
        <v>35</v>
      </c>
      <c r="F107" s="9">
        <v>90</v>
      </c>
      <c r="G107" s="9">
        <v>27</v>
      </c>
      <c r="H107" s="9">
        <v>63</v>
      </c>
      <c r="I107" s="9">
        <v>350</v>
      </c>
      <c r="J107" s="9">
        <v>287</v>
      </c>
      <c r="K107" t="str">
        <f t="shared" si="6"/>
        <v>HIGH</v>
      </c>
      <c r="L107" t="s">
        <v>26</v>
      </c>
    </row>
    <row r="108" spans="1:12" x14ac:dyDescent="0.25">
      <c r="A108" t="s">
        <v>1555</v>
      </c>
      <c r="B108" t="s">
        <v>789</v>
      </c>
      <c r="C108" t="s">
        <v>601</v>
      </c>
      <c r="D108" t="s">
        <v>171</v>
      </c>
      <c r="E108" t="s">
        <v>35</v>
      </c>
      <c r="F108" s="9">
        <v>61</v>
      </c>
      <c r="G108" s="9">
        <v>88</v>
      </c>
      <c r="H108" s="9">
        <v>0</v>
      </c>
      <c r="I108" s="9">
        <v>287</v>
      </c>
      <c r="J108" s="9">
        <v>287</v>
      </c>
      <c r="K108" t="str">
        <f t="shared" si="6"/>
        <v>CRITICAL</v>
      </c>
      <c r="L108" t="s">
        <v>26</v>
      </c>
    </row>
    <row r="109" spans="1:12" x14ac:dyDescent="0.25">
      <c r="A109" t="s">
        <v>433</v>
      </c>
      <c r="B109" t="s">
        <v>18</v>
      </c>
      <c r="C109" t="s">
        <v>434</v>
      </c>
      <c r="D109" t="s">
        <v>21</v>
      </c>
      <c r="E109" t="s">
        <v>35</v>
      </c>
      <c r="F109" s="9">
        <v>107</v>
      </c>
      <c r="G109" s="9">
        <v>93</v>
      </c>
      <c r="H109" s="9">
        <v>14</v>
      </c>
      <c r="I109" s="9">
        <v>297</v>
      </c>
      <c r="J109" s="9">
        <v>283</v>
      </c>
      <c r="K109" t="str">
        <f t="shared" si="6"/>
        <v>HIGH</v>
      </c>
      <c r="L109" t="s">
        <v>26</v>
      </c>
    </row>
    <row r="110" spans="1:12" x14ac:dyDescent="0.25">
      <c r="A110" t="s">
        <v>600</v>
      </c>
      <c r="B110" t="s">
        <v>18</v>
      </c>
      <c r="C110" t="s">
        <v>601</v>
      </c>
      <c r="D110" t="s">
        <v>21</v>
      </c>
      <c r="E110" t="s">
        <v>62</v>
      </c>
      <c r="F110" s="9">
        <v>89</v>
      </c>
      <c r="G110" s="9">
        <v>37</v>
      </c>
      <c r="H110" s="9">
        <v>52</v>
      </c>
      <c r="I110" s="9">
        <v>335</v>
      </c>
      <c r="J110" s="9">
        <v>283</v>
      </c>
      <c r="K110" t="str">
        <f t="shared" si="6"/>
        <v>HIGH</v>
      </c>
      <c r="L110" t="s">
        <v>48</v>
      </c>
    </row>
    <row r="111" spans="1:12" x14ac:dyDescent="0.25">
      <c r="A111" t="s">
        <v>1162</v>
      </c>
      <c r="B111" t="s">
        <v>789</v>
      </c>
      <c r="C111" t="s">
        <v>229</v>
      </c>
      <c r="D111" t="s">
        <v>804</v>
      </c>
      <c r="E111" t="s">
        <v>62</v>
      </c>
      <c r="F111" s="9">
        <v>93</v>
      </c>
      <c r="G111" s="9">
        <v>7</v>
      </c>
      <c r="H111" s="9">
        <v>86</v>
      </c>
      <c r="I111" s="9">
        <v>369</v>
      </c>
      <c r="J111" s="9">
        <v>283</v>
      </c>
      <c r="K111" t="str">
        <f t="shared" si="6"/>
        <v>HIGH</v>
      </c>
      <c r="L111" t="s">
        <v>26</v>
      </c>
    </row>
    <row r="112" spans="1:12" x14ac:dyDescent="0.25">
      <c r="A112" t="s">
        <v>1103</v>
      </c>
      <c r="B112" t="s">
        <v>789</v>
      </c>
      <c r="C112" t="s">
        <v>229</v>
      </c>
      <c r="D112" t="s">
        <v>122</v>
      </c>
      <c r="E112" t="s">
        <v>62</v>
      </c>
      <c r="F112" s="9">
        <v>138</v>
      </c>
      <c r="G112" s="9">
        <v>64</v>
      </c>
      <c r="H112" s="9">
        <v>74</v>
      </c>
      <c r="I112" s="9">
        <v>355</v>
      </c>
      <c r="J112" s="9">
        <v>281</v>
      </c>
      <c r="K112" t="str">
        <f t="shared" si="6"/>
        <v>HIGH</v>
      </c>
      <c r="L112" t="s">
        <v>26</v>
      </c>
    </row>
    <row r="113" spans="1:12" x14ac:dyDescent="0.25">
      <c r="A113" t="s">
        <v>1500</v>
      </c>
      <c r="B113" t="s">
        <v>789</v>
      </c>
      <c r="C113" t="s">
        <v>601</v>
      </c>
      <c r="D113" t="s">
        <v>122</v>
      </c>
      <c r="E113" t="s">
        <v>62</v>
      </c>
      <c r="F113" s="9">
        <v>153</v>
      </c>
      <c r="G113" s="9">
        <v>37</v>
      </c>
      <c r="H113" s="9">
        <v>116</v>
      </c>
      <c r="I113" s="9">
        <v>397</v>
      </c>
      <c r="J113" s="9">
        <v>281</v>
      </c>
      <c r="K113" t="str">
        <f t="shared" si="6"/>
        <v>HIGH</v>
      </c>
      <c r="L113" t="s">
        <v>48</v>
      </c>
    </row>
    <row r="114" spans="1:12" x14ac:dyDescent="0.25">
      <c r="A114" t="s">
        <v>788</v>
      </c>
      <c r="B114" t="s">
        <v>789</v>
      </c>
      <c r="C114" t="s">
        <v>601</v>
      </c>
      <c r="D114" t="s">
        <v>790</v>
      </c>
      <c r="E114" t="s">
        <v>29</v>
      </c>
      <c r="F114" s="9">
        <v>105</v>
      </c>
      <c r="G114" s="9">
        <v>9</v>
      </c>
      <c r="H114" s="9">
        <v>96</v>
      </c>
      <c r="I114" s="9">
        <v>375</v>
      </c>
      <c r="J114" s="9">
        <v>279</v>
      </c>
      <c r="K114" t="str">
        <f t="shared" si="6"/>
        <v>HIGH</v>
      </c>
      <c r="L114" t="s">
        <v>26</v>
      </c>
    </row>
    <row r="115" spans="1:12" x14ac:dyDescent="0.25">
      <c r="A115" t="s">
        <v>1046</v>
      </c>
      <c r="B115" t="s">
        <v>789</v>
      </c>
      <c r="C115" t="s">
        <v>20</v>
      </c>
      <c r="D115" t="s">
        <v>843</v>
      </c>
      <c r="E115" t="s">
        <v>35</v>
      </c>
      <c r="F115" s="9">
        <v>95</v>
      </c>
      <c r="G115" s="9">
        <v>7</v>
      </c>
      <c r="H115" s="9">
        <v>88</v>
      </c>
      <c r="I115" s="9">
        <v>366</v>
      </c>
      <c r="J115" s="9">
        <v>278</v>
      </c>
      <c r="K115" t="str">
        <f t="shared" si="6"/>
        <v>HIGH</v>
      </c>
      <c r="L115" t="s">
        <v>26</v>
      </c>
    </row>
    <row r="116" spans="1:12" x14ac:dyDescent="0.25">
      <c r="A116" t="s">
        <v>228</v>
      </c>
      <c r="B116" t="s">
        <v>18</v>
      </c>
      <c r="C116" t="s">
        <v>229</v>
      </c>
      <c r="D116" t="s">
        <v>21</v>
      </c>
      <c r="E116" t="s">
        <v>35</v>
      </c>
      <c r="F116" s="9">
        <v>123</v>
      </c>
      <c r="G116" s="9">
        <v>39</v>
      </c>
      <c r="H116" s="9">
        <v>84</v>
      </c>
      <c r="I116" s="9">
        <v>361</v>
      </c>
      <c r="J116" s="9">
        <v>277</v>
      </c>
      <c r="K116" t="str">
        <f t="shared" si="6"/>
        <v>HIGH</v>
      </c>
      <c r="L116" t="s">
        <v>48</v>
      </c>
    </row>
    <row r="117" spans="1:12" x14ac:dyDescent="0.25">
      <c r="A117" t="s">
        <v>305</v>
      </c>
      <c r="B117" t="s">
        <v>18</v>
      </c>
      <c r="C117" t="s">
        <v>229</v>
      </c>
      <c r="D117" t="s">
        <v>122</v>
      </c>
      <c r="E117" t="s">
        <v>35</v>
      </c>
      <c r="F117" s="9">
        <v>157</v>
      </c>
      <c r="G117" s="9">
        <v>99</v>
      </c>
      <c r="H117" s="9">
        <v>58</v>
      </c>
      <c r="I117" s="9">
        <v>335</v>
      </c>
      <c r="J117" s="9">
        <v>277</v>
      </c>
      <c r="K117" t="str">
        <f t="shared" si="6"/>
        <v>HIGH</v>
      </c>
      <c r="L117" t="s">
        <v>48</v>
      </c>
    </row>
    <row r="118" spans="1:12" x14ac:dyDescent="0.25">
      <c r="A118" t="s">
        <v>1184</v>
      </c>
      <c r="B118" t="s">
        <v>789</v>
      </c>
      <c r="C118" t="s">
        <v>229</v>
      </c>
      <c r="D118" t="s">
        <v>171</v>
      </c>
      <c r="E118" t="s">
        <v>83</v>
      </c>
      <c r="F118" s="9">
        <v>67</v>
      </c>
      <c r="G118" s="9">
        <v>63</v>
      </c>
      <c r="H118" s="9">
        <v>4</v>
      </c>
      <c r="I118" s="9">
        <v>278</v>
      </c>
      <c r="J118" s="9">
        <v>274</v>
      </c>
      <c r="K118" t="str">
        <f t="shared" si="6"/>
        <v>HIGH</v>
      </c>
      <c r="L118" t="s">
        <v>26</v>
      </c>
    </row>
    <row r="119" spans="1:12" x14ac:dyDescent="0.25">
      <c r="A119" t="s">
        <v>17</v>
      </c>
      <c r="B119" t="s">
        <v>18</v>
      </c>
      <c r="C119" t="s">
        <v>20</v>
      </c>
      <c r="D119" t="s">
        <v>21</v>
      </c>
      <c r="E119" t="s">
        <v>35</v>
      </c>
      <c r="F119" s="9">
        <v>92</v>
      </c>
      <c r="G119" s="9">
        <v>85</v>
      </c>
      <c r="H119" s="9">
        <v>7</v>
      </c>
      <c r="I119" s="9">
        <v>280</v>
      </c>
      <c r="J119" s="9">
        <v>273</v>
      </c>
      <c r="K119" t="str">
        <f t="shared" si="6"/>
        <v>HIGH</v>
      </c>
      <c r="L119" t="s">
        <v>48</v>
      </c>
    </row>
    <row r="120" spans="1:12" x14ac:dyDescent="0.25">
      <c r="A120" t="s">
        <v>2169</v>
      </c>
      <c r="B120" t="s">
        <v>2170</v>
      </c>
      <c r="C120" t="s">
        <v>2172</v>
      </c>
      <c r="D120" t="s">
        <v>21</v>
      </c>
      <c r="E120" t="s">
        <v>22</v>
      </c>
      <c r="F120" s="9">
        <v>6</v>
      </c>
      <c r="G120" s="9">
        <v>1</v>
      </c>
      <c r="H120" s="9">
        <v>5</v>
      </c>
      <c r="I120" s="9">
        <v>277</v>
      </c>
      <c r="J120" s="9">
        <v>272</v>
      </c>
      <c r="K120" t="str">
        <f t="shared" si="6"/>
        <v>HIGH</v>
      </c>
      <c r="L120" t="s">
        <v>26</v>
      </c>
    </row>
    <row r="121" spans="1:12" x14ac:dyDescent="0.25">
      <c r="A121" t="s">
        <v>121</v>
      </c>
      <c r="B121" t="s">
        <v>18</v>
      </c>
      <c r="C121" t="s">
        <v>20</v>
      </c>
      <c r="D121" t="s">
        <v>122</v>
      </c>
      <c r="E121" t="s">
        <v>62</v>
      </c>
      <c r="F121" s="9">
        <v>124</v>
      </c>
      <c r="G121" s="9">
        <v>22</v>
      </c>
      <c r="H121" s="9">
        <v>102</v>
      </c>
      <c r="I121" s="9">
        <v>373</v>
      </c>
      <c r="J121" s="9">
        <v>271</v>
      </c>
      <c r="K121" t="str">
        <f t="shared" si="6"/>
        <v>HIGH</v>
      </c>
      <c r="L121" t="s">
        <v>26</v>
      </c>
    </row>
    <row r="122" spans="1:12" x14ac:dyDescent="0.25">
      <c r="A122" t="s">
        <v>1253</v>
      </c>
      <c r="B122" t="s">
        <v>789</v>
      </c>
      <c r="C122" t="s">
        <v>434</v>
      </c>
      <c r="D122" t="s">
        <v>21</v>
      </c>
      <c r="E122" t="s">
        <v>62</v>
      </c>
      <c r="F122" s="9">
        <v>161</v>
      </c>
      <c r="G122" s="9">
        <v>64</v>
      </c>
      <c r="H122" s="9">
        <v>97</v>
      </c>
      <c r="I122" s="9">
        <v>367</v>
      </c>
      <c r="J122" s="9">
        <v>270</v>
      </c>
      <c r="K122" t="str">
        <f t="shared" si="6"/>
        <v>HIGH</v>
      </c>
      <c r="L122" t="s">
        <v>26</v>
      </c>
    </row>
    <row r="123" spans="1:12" x14ac:dyDescent="0.25">
      <c r="A123" t="s">
        <v>1500</v>
      </c>
      <c r="B123" t="s">
        <v>789</v>
      </c>
      <c r="C123" t="s">
        <v>601</v>
      </c>
      <c r="D123" t="s">
        <v>122</v>
      </c>
      <c r="E123" t="s">
        <v>35</v>
      </c>
      <c r="F123" s="9">
        <v>135</v>
      </c>
      <c r="G123" s="9">
        <v>87</v>
      </c>
      <c r="H123" s="9">
        <v>48</v>
      </c>
      <c r="I123" s="9">
        <v>318</v>
      </c>
      <c r="J123" s="9">
        <v>270</v>
      </c>
      <c r="K123" t="str">
        <f t="shared" si="6"/>
        <v>HIGH</v>
      </c>
      <c r="L123" t="s">
        <v>26</v>
      </c>
    </row>
    <row r="124" spans="1:12" x14ac:dyDescent="0.25">
      <c r="A124" t="s">
        <v>1555</v>
      </c>
      <c r="B124" t="s">
        <v>789</v>
      </c>
      <c r="C124" t="s">
        <v>601</v>
      </c>
      <c r="D124" t="s">
        <v>171</v>
      </c>
      <c r="E124" t="s">
        <v>83</v>
      </c>
      <c r="F124" s="9">
        <v>103</v>
      </c>
      <c r="G124" s="9">
        <v>74</v>
      </c>
      <c r="H124" s="9">
        <v>29</v>
      </c>
      <c r="I124" s="9">
        <v>298</v>
      </c>
      <c r="J124" s="9">
        <v>269</v>
      </c>
      <c r="K124" t="str">
        <f t="shared" si="6"/>
        <v>HIGH</v>
      </c>
      <c r="L124" t="s">
        <v>26</v>
      </c>
    </row>
    <row r="125" spans="1:12" x14ac:dyDescent="0.25">
      <c r="A125" t="s">
        <v>305</v>
      </c>
      <c r="B125" t="s">
        <v>18</v>
      </c>
      <c r="C125" t="s">
        <v>229</v>
      </c>
      <c r="D125" t="s">
        <v>122</v>
      </c>
      <c r="E125" t="s">
        <v>83</v>
      </c>
      <c r="F125" s="9">
        <v>140</v>
      </c>
      <c r="G125" s="9">
        <v>20</v>
      </c>
      <c r="H125" s="9">
        <v>120</v>
      </c>
      <c r="I125" s="9">
        <v>387</v>
      </c>
      <c r="J125" s="9">
        <v>267</v>
      </c>
      <c r="K125" t="str">
        <f t="shared" si="6"/>
        <v>HIGH</v>
      </c>
      <c r="L125" t="s">
        <v>26</v>
      </c>
    </row>
    <row r="126" spans="1:12" x14ac:dyDescent="0.25">
      <c r="A126" t="s">
        <v>1253</v>
      </c>
      <c r="B126" t="s">
        <v>789</v>
      </c>
      <c r="C126" t="s">
        <v>434</v>
      </c>
      <c r="D126" t="s">
        <v>21</v>
      </c>
      <c r="E126" t="s">
        <v>83</v>
      </c>
      <c r="F126" s="9">
        <v>92</v>
      </c>
      <c r="G126" s="9">
        <v>68</v>
      </c>
      <c r="H126" s="9">
        <v>24</v>
      </c>
      <c r="I126" s="9">
        <v>290</v>
      </c>
      <c r="J126" s="9">
        <v>266</v>
      </c>
      <c r="K126" t="str">
        <f t="shared" si="6"/>
        <v>HIGH</v>
      </c>
      <c r="L126" t="s">
        <v>26</v>
      </c>
    </row>
    <row r="127" spans="1:12" x14ac:dyDescent="0.25">
      <c r="A127" t="s">
        <v>17</v>
      </c>
      <c r="B127" t="s">
        <v>18</v>
      </c>
      <c r="C127" t="s">
        <v>20</v>
      </c>
      <c r="D127" t="s">
        <v>21</v>
      </c>
      <c r="E127" t="s">
        <v>62</v>
      </c>
      <c r="F127" s="9">
        <v>131</v>
      </c>
      <c r="G127" s="9">
        <v>20</v>
      </c>
      <c r="H127" s="9">
        <v>111</v>
      </c>
      <c r="I127" s="9">
        <v>376</v>
      </c>
      <c r="J127" s="9">
        <v>265</v>
      </c>
      <c r="K127" t="str">
        <f t="shared" si="6"/>
        <v>HIGH</v>
      </c>
      <c r="L127" t="s">
        <v>26</v>
      </c>
    </row>
    <row r="128" spans="1:12" x14ac:dyDescent="0.25">
      <c r="A128" t="s">
        <v>803</v>
      </c>
      <c r="B128" t="s">
        <v>789</v>
      </c>
      <c r="C128" t="s">
        <v>601</v>
      </c>
      <c r="D128" t="s">
        <v>804</v>
      </c>
      <c r="E128" t="s">
        <v>62</v>
      </c>
      <c r="F128" s="9">
        <v>65</v>
      </c>
      <c r="G128" s="9">
        <v>0</v>
      </c>
      <c r="H128" s="9">
        <v>65</v>
      </c>
      <c r="I128" s="9">
        <v>329</v>
      </c>
      <c r="J128" s="9">
        <v>264</v>
      </c>
      <c r="K128" t="str">
        <f t="shared" si="6"/>
        <v>HIGH</v>
      </c>
      <c r="L128" t="s">
        <v>26</v>
      </c>
    </row>
    <row r="129" spans="1:12" x14ac:dyDescent="0.25">
      <c r="A129" t="s">
        <v>675</v>
      </c>
      <c r="B129" t="s">
        <v>18</v>
      </c>
      <c r="C129" t="s">
        <v>601</v>
      </c>
      <c r="D129" t="s">
        <v>122</v>
      </c>
      <c r="E129" t="s">
        <v>35</v>
      </c>
      <c r="F129" s="9">
        <v>117</v>
      </c>
      <c r="G129" s="9">
        <v>78</v>
      </c>
      <c r="H129" s="9">
        <v>39</v>
      </c>
      <c r="I129" s="9">
        <v>302</v>
      </c>
      <c r="J129" s="9">
        <v>263</v>
      </c>
      <c r="K129" t="str">
        <f t="shared" si="6"/>
        <v>HIGH</v>
      </c>
      <c r="L129" t="s">
        <v>26</v>
      </c>
    </row>
    <row r="130" spans="1:12" x14ac:dyDescent="0.25">
      <c r="A130" t="s">
        <v>1058</v>
      </c>
      <c r="B130" t="s">
        <v>789</v>
      </c>
      <c r="C130" t="s">
        <v>229</v>
      </c>
      <c r="D130" t="s">
        <v>21</v>
      </c>
      <c r="E130" t="s">
        <v>62</v>
      </c>
      <c r="F130" s="9">
        <v>142</v>
      </c>
      <c r="G130" s="9">
        <v>74</v>
      </c>
      <c r="H130" s="9">
        <v>68</v>
      </c>
      <c r="I130" s="9">
        <v>331</v>
      </c>
      <c r="J130" s="9">
        <v>263</v>
      </c>
      <c r="K130" t="str">
        <f t="shared" si="6"/>
        <v>HIGH</v>
      </c>
      <c r="L130" t="s">
        <v>26</v>
      </c>
    </row>
    <row r="131" spans="1:12" x14ac:dyDescent="0.25">
      <c r="A131" t="s">
        <v>491</v>
      </c>
      <c r="B131" t="s">
        <v>18</v>
      </c>
      <c r="C131" t="s">
        <v>434</v>
      </c>
      <c r="D131" t="s">
        <v>122</v>
      </c>
      <c r="E131" t="s">
        <v>62</v>
      </c>
      <c r="F131" s="9">
        <v>123</v>
      </c>
      <c r="G131" s="9">
        <v>29</v>
      </c>
      <c r="H131" s="9">
        <v>94</v>
      </c>
      <c r="I131" s="9">
        <v>356</v>
      </c>
      <c r="J131" s="9">
        <v>262</v>
      </c>
      <c r="K131" t="str">
        <f t="shared" si="6"/>
        <v>HIGH</v>
      </c>
      <c r="L131" t="s">
        <v>48</v>
      </c>
    </row>
    <row r="132" spans="1:12" x14ac:dyDescent="0.25">
      <c r="A132" t="s">
        <v>1172</v>
      </c>
      <c r="B132" t="s">
        <v>789</v>
      </c>
      <c r="C132" t="s">
        <v>229</v>
      </c>
      <c r="D132" t="s">
        <v>817</v>
      </c>
      <c r="E132" t="s">
        <v>35</v>
      </c>
      <c r="F132" s="9">
        <v>86</v>
      </c>
      <c r="G132" s="9">
        <v>6</v>
      </c>
      <c r="H132" s="9">
        <v>80</v>
      </c>
      <c r="I132" s="9">
        <v>342</v>
      </c>
      <c r="J132" s="9">
        <v>262</v>
      </c>
      <c r="K132" t="str">
        <f t="shared" si="6"/>
        <v>HIGH</v>
      </c>
      <c r="L132" t="s">
        <v>26</v>
      </c>
    </row>
    <row r="133" spans="1:12" x14ac:dyDescent="0.25">
      <c r="A133" t="s">
        <v>1319</v>
      </c>
      <c r="B133" t="s">
        <v>789</v>
      </c>
      <c r="C133" t="s">
        <v>434</v>
      </c>
      <c r="D133" t="s">
        <v>122</v>
      </c>
      <c r="E133" t="s">
        <v>62</v>
      </c>
      <c r="F133" s="9">
        <v>120</v>
      </c>
      <c r="G133" s="9">
        <v>21</v>
      </c>
      <c r="H133" s="9">
        <v>99</v>
      </c>
      <c r="I133" s="9">
        <v>360</v>
      </c>
      <c r="J133" s="9">
        <v>261</v>
      </c>
      <c r="K133" t="str">
        <f t="shared" si="6"/>
        <v>HIGH</v>
      </c>
      <c r="L133" t="s">
        <v>48</v>
      </c>
    </row>
    <row r="134" spans="1:12" x14ac:dyDescent="0.25">
      <c r="A134" t="s">
        <v>1555</v>
      </c>
      <c r="B134" t="s">
        <v>789</v>
      </c>
      <c r="C134" t="s">
        <v>601</v>
      </c>
      <c r="D134" t="s">
        <v>171</v>
      </c>
      <c r="E134" t="s">
        <v>62</v>
      </c>
      <c r="F134" s="9">
        <v>71</v>
      </c>
      <c r="G134" s="9">
        <v>43</v>
      </c>
      <c r="H134" s="9">
        <v>28</v>
      </c>
      <c r="I134" s="9">
        <v>289</v>
      </c>
      <c r="J134" s="9">
        <v>261</v>
      </c>
      <c r="K134" t="str">
        <f t="shared" si="6"/>
        <v>HIGH</v>
      </c>
      <c r="L134" t="s">
        <v>48</v>
      </c>
    </row>
    <row r="135" spans="1:12" x14ac:dyDescent="0.25">
      <c r="A135" t="s">
        <v>17</v>
      </c>
      <c r="B135" t="s">
        <v>18</v>
      </c>
      <c r="C135" t="s">
        <v>20</v>
      </c>
      <c r="D135" t="s">
        <v>21</v>
      </c>
      <c r="E135" t="s">
        <v>83</v>
      </c>
      <c r="F135" s="9">
        <v>167</v>
      </c>
      <c r="G135" s="9">
        <v>84</v>
      </c>
      <c r="H135" s="9">
        <v>83</v>
      </c>
      <c r="I135" s="9">
        <v>343</v>
      </c>
      <c r="J135" s="9">
        <v>260</v>
      </c>
      <c r="K135" t="str">
        <f t="shared" si="6"/>
        <v>HIGH</v>
      </c>
      <c r="L135" t="s">
        <v>26</v>
      </c>
    </row>
    <row r="136" spans="1:12" x14ac:dyDescent="0.25">
      <c r="A136" t="s">
        <v>1465</v>
      </c>
      <c r="B136" t="s">
        <v>789</v>
      </c>
      <c r="C136" t="s">
        <v>601</v>
      </c>
      <c r="D136" t="s">
        <v>21</v>
      </c>
      <c r="E136" t="s">
        <v>62</v>
      </c>
      <c r="F136" s="9">
        <v>149</v>
      </c>
      <c r="G136" s="9">
        <v>23</v>
      </c>
      <c r="H136" s="9">
        <v>126</v>
      </c>
      <c r="I136" s="9">
        <v>386</v>
      </c>
      <c r="J136" s="9">
        <v>260</v>
      </c>
      <c r="K136" t="str">
        <f t="shared" si="6"/>
        <v>HIGH</v>
      </c>
      <c r="L136" t="s">
        <v>26</v>
      </c>
    </row>
    <row r="137" spans="1:12" x14ac:dyDescent="0.25">
      <c r="A137" t="s">
        <v>554</v>
      </c>
      <c r="B137" t="s">
        <v>18</v>
      </c>
      <c r="C137" t="s">
        <v>434</v>
      </c>
      <c r="D137" t="s">
        <v>171</v>
      </c>
      <c r="E137" t="s">
        <v>83</v>
      </c>
      <c r="F137" s="9">
        <v>86</v>
      </c>
      <c r="G137" s="9">
        <v>7</v>
      </c>
      <c r="H137" s="9">
        <v>79</v>
      </c>
      <c r="I137" s="9">
        <v>338</v>
      </c>
      <c r="J137" s="9">
        <v>259</v>
      </c>
      <c r="K137" t="str">
        <f t="shared" si="6"/>
        <v>HIGH</v>
      </c>
      <c r="L137" t="s">
        <v>26</v>
      </c>
    </row>
    <row r="138" spans="1:12" x14ac:dyDescent="0.25">
      <c r="A138" t="s">
        <v>735</v>
      </c>
      <c r="B138" t="s">
        <v>18</v>
      </c>
      <c r="C138" t="s">
        <v>601</v>
      </c>
      <c r="D138" t="s">
        <v>171</v>
      </c>
      <c r="E138" t="s">
        <v>62</v>
      </c>
      <c r="F138" s="9">
        <v>134</v>
      </c>
      <c r="G138" s="9">
        <v>25</v>
      </c>
      <c r="H138" s="9">
        <v>109</v>
      </c>
      <c r="I138" s="9">
        <v>368</v>
      </c>
      <c r="J138" s="9">
        <v>259</v>
      </c>
      <c r="K138" t="str">
        <f t="shared" si="6"/>
        <v>HIGH</v>
      </c>
      <c r="L138" t="s">
        <v>26</v>
      </c>
    </row>
    <row r="139" spans="1:12" x14ac:dyDescent="0.25">
      <c r="A139" t="s">
        <v>1771</v>
      </c>
      <c r="B139" t="s">
        <v>1612</v>
      </c>
      <c r="C139" t="s">
        <v>229</v>
      </c>
      <c r="D139" t="s">
        <v>21</v>
      </c>
      <c r="E139" t="s">
        <v>22</v>
      </c>
      <c r="F139" s="9">
        <v>3</v>
      </c>
      <c r="G139" s="9">
        <v>0</v>
      </c>
      <c r="H139" s="9">
        <v>3</v>
      </c>
      <c r="I139" s="9">
        <v>261</v>
      </c>
      <c r="J139" s="9">
        <v>258</v>
      </c>
      <c r="K139" t="str">
        <f t="shared" si="6"/>
        <v>HIGH</v>
      </c>
      <c r="L139" t="s">
        <v>26</v>
      </c>
    </row>
    <row r="140" spans="1:12" x14ac:dyDescent="0.25">
      <c r="A140" t="s">
        <v>228</v>
      </c>
      <c r="B140" t="s">
        <v>18</v>
      </c>
      <c r="C140" t="s">
        <v>229</v>
      </c>
      <c r="D140" t="s">
        <v>21</v>
      </c>
      <c r="E140" t="s">
        <v>35</v>
      </c>
      <c r="F140" s="9">
        <v>73</v>
      </c>
      <c r="G140" s="9">
        <v>89</v>
      </c>
      <c r="H140" s="9">
        <v>0</v>
      </c>
      <c r="I140" s="9">
        <v>257</v>
      </c>
      <c r="J140" s="9">
        <v>257</v>
      </c>
      <c r="K140" t="str">
        <f t="shared" si="6"/>
        <v>CRITICAL</v>
      </c>
      <c r="L140" t="s">
        <v>26</v>
      </c>
    </row>
    <row r="141" spans="1:12" x14ac:dyDescent="0.25">
      <c r="A141" t="s">
        <v>554</v>
      </c>
      <c r="B141" t="s">
        <v>18</v>
      </c>
      <c r="C141" t="s">
        <v>434</v>
      </c>
      <c r="D141" t="s">
        <v>171</v>
      </c>
      <c r="E141" t="s">
        <v>35</v>
      </c>
      <c r="F141" s="9">
        <v>159</v>
      </c>
      <c r="G141" s="9">
        <v>96</v>
      </c>
      <c r="H141" s="9">
        <v>63</v>
      </c>
      <c r="I141" s="9">
        <v>319</v>
      </c>
      <c r="J141" s="9">
        <v>256</v>
      </c>
      <c r="K141" t="str">
        <f t="shared" si="6"/>
        <v>HIGH</v>
      </c>
      <c r="L141" t="s">
        <v>26</v>
      </c>
    </row>
    <row r="142" spans="1:12" x14ac:dyDescent="0.25">
      <c r="A142" t="s">
        <v>735</v>
      </c>
      <c r="B142" t="s">
        <v>18</v>
      </c>
      <c r="C142" t="s">
        <v>601</v>
      </c>
      <c r="D142" t="s">
        <v>171</v>
      </c>
      <c r="E142" t="s">
        <v>35</v>
      </c>
      <c r="F142" s="9">
        <v>110</v>
      </c>
      <c r="G142" s="9">
        <v>16</v>
      </c>
      <c r="H142" s="9">
        <v>94</v>
      </c>
      <c r="I142" s="9">
        <v>349</v>
      </c>
      <c r="J142" s="9">
        <v>255</v>
      </c>
      <c r="K142" t="str">
        <f t="shared" si="6"/>
        <v>HIGH</v>
      </c>
      <c r="L142" t="s">
        <v>26</v>
      </c>
    </row>
    <row r="143" spans="1:12" x14ac:dyDescent="0.25">
      <c r="A143" t="s">
        <v>121</v>
      </c>
      <c r="B143" t="s">
        <v>18</v>
      </c>
      <c r="C143" t="s">
        <v>20</v>
      </c>
      <c r="D143" t="s">
        <v>122</v>
      </c>
      <c r="E143" t="s">
        <v>62</v>
      </c>
      <c r="F143" s="9">
        <v>147</v>
      </c>
      <c r="G143" s="9">
        <v>29</v>
      </c>
      <c r="H143" s="9">
        <v>118</v>
      </c>
      <c r="I143" s="9">
        <v>372</v>
      </c>
      <c r="J143" s="9">
        <v>254</v>
      </c>
      <c r="K143" t="str">
        <f t="shared" si="6"/>
        <v>HIGH</v>
      </c>
      <c r="L143" t="s">
        <v>26</v>
      </c>
    </row>
    <row r="144" spans="1:12" x14ac:dyDescent="0.25">
      <c r="A144" t="s">
        <v>305</v>
      </c>
      <c r="B144" t="s">
        <v>18</v>
      </c>
      <c r="C144" t="s">
        <v>229</v>
      </c>
      <c r="D144" t="s">
        <v>122</v>
      </c>
      <c r="E144" t="s">
        <v>35</v>
      </c>
      <c r="F144" s="9">
        <v>129</v>
      </c>
      <c r="G144" s="9">
        <v>19</v>
      </c>
      <c r="H144" s="9">
        <v>110</v>
      </c>
      <c r="I144" s="9">
        <v>364</v>
      </c>
      <c r="J144" s="9">
        <v>254</v>
      </c>
      <c r="K144" t="str">
        <f t="shared" si="6"/>
        <v>HIGH</v>
      </c>
      <c r="L144" t="s">
        <v>26</v>
      </c>
    </row>
    <row r="145" spans="1:12" x14ac:dyDescent="0.25">
      <c r="A145" t="s">
        <v>735</v>
      </c>
      <c r="B145" t="s">
        <v>18</v>
      </c>
      <c r="C145" t="s">
        <v>601</v>
      </c>
      <c r="D145" t="s">
        <v>171</v>
      </c>
      <c r="E145" t="s">
        <v>35</v>
      </c>
      <c r="F145" s="9">
        <v>147</v>
      </c>
      <c r="G145" s="9">
        <v>81</v>
      </c>
      <c r="H145" s="9">
        <v>66</v>
      </c>
      <c r="I145" s="9">
        <v>320</v>
      </c>
      <c r="J145" s="9">
        <v>254</v>
      </c>
      <c r="K145" t="str">
        <f t="shared" si="6"/>
        <v>HIGH</v>
      </c>
      <c r="L145" t="s">
        <v>26</v>
      </c>
    </row>
    <row r="146" spans="1:12" x14ac:dyDescent="0.25">
      <c r="A146" t="s">
        <v>1172</v>
      </c>
      <c r="B146" t="s">
        <v>789</v>
      </c>
      <c r="C146" t="s">
        <v>229</v>
      </c>
      <c r="D146" t="s">
        <v>817</v>
      </c>
      <c r="E146" t="s">
        <v>62</v>
      </c>
      <c r="F146" s="9">
        <v>119</v>
      </c>
      <c r="G146" s="9">
        <v>0</v>
      </c>
      <c r="H146" s="9">
        <v>119</v>
      </c>
      <c r="I146" s="9">
        <v>370</v>
      </c>
      <c r="J146" s="9">
        <v>251</v>
      </c>
      <c r="K146" t="str">
        <f t="shared" si="6"/>
        <v>HIGH</v>
      </c>
      <c r="L146" t="s">
        <v>26</v>
      </c>
    </row>
    <row r="147" spans="1:12" x14ac:dyDescent="0.25">
      <c r="A147" t="s">
        <v>370</v>
      </c>
      <c r="B147" t="s">
        <v>18</v>
      </c>
      <c r="C147" t="s">
        <v>229</v>
      </c>
      <c r="D147" t="s">
        <v>171</v>
      </c>
      <c r="E147" t="s">
        <v>35</v>
      </c>
      <c r="F147" s="9">
        <v>150</v>
      </c>
      <c r="G147" s="9">
        <v>50</v>
      </c>
      <c r="H147" s="9">
        <v>100</v>
      </c>
      <c r="I147" s="9">
        <v>349</v>
      </c>
      <c r="J147" s="9">
        <v>249</v>
      </c>
      <c r="K147" t="str">
        <f t="shared" si="6"/>
        <v>HIGH</v>
      </c>
      <c r="L147" t="s">
        <v>26</v>
      </c>
    </row>
    <row r="148" spans="1:12" x14ac:dyDescent="0.25">
      <c r="A148" t="s">
        <v>228</v>
      </c>
      <c r="B148" t="s">
        <v>18</v>
      </c>
      <c r="C148" t="s">
        <v>229</v>
      </c>
      <c r="D148" t="s">
        <v>21</v>
      </c>
      <c r="E148" t="s">
        <v>35</v>
      </c>
      <c r="F148" s="9">
        <v>99</v>
      </c>
      <c r="G148" s="9">
        <v>26</v>
      </c>
      <c r="H148" s="9">
        <v>73</v>
      </c>
      <c r="I148" s="9">
        <v>320</v>
      </c>
      <c r="J148" s="9">
        <v>247</v>
      </c>
      <c r="K148" t="str">
        <f t="shared" si="6"/>
        <v>HIGH</v>
      </c>
      <c r="L148" t="s">
        <v>26</v>
      </c>
    </row>
    <row r="149" spans="1:12" x14ac:dyDescent="0.25">
      <c r="A149" t="s">
        <v>735</v>
      </c>
      <c r="B149" t="s">
        <v>18</v>
      </c>
      <c r="C149" t="s">
        <v>601</v>
      </c>
      <c r="D149" t="s">
        <v>171</v>
      </c>
      <c r="E149" t="s">
        <v>83</v>
      </c>
      <c r="F149" s="9">
        <v>118</v>
      </c>
      <c r="G149" s="9">
        <v>33</v>
      </c>
      <c r="H149" s="9">
        <v>85</v>
      </c>
      <c r="I149" s="9">
        <v>332</v>
      </c>
      <c r="J149" s="9">
        <v>247</v>
      </c>
      <c r="K149" t="str">
        <f t="shared" si="6"/>
        <v>HIGH</v>
      </c>
      <c r="L149" t="s">
        <v>26</v>
      </c>
    </row>
    <row r="150" spans="1:12" x14ac:dyDescent="0.25">
      <c r="A150" t="s">
        <v>981</v>
      </c>
      <c r="B150" t="s">
        <v>789</v>
      </c>
      <c r="C150" t="s">
        <v>20</v>
      </c>
      <c r="D150" t="s">
        <v>817</v>
      </c>
      <c r="E150" t="s">
        <v>35</v>
      </c>
      <c r="F150" s="9">
        <v>108</v>
      </c>
      <c r="G150" s="9">
        <v>7</v>
      </c>
      <c r="H150" s="9">
        <v>101</v>
      </c>
      <c r="I150" s="9">
        <v>348</v>
      </c>
      <c r="J150" s="9">
        <v>247</v>
      </c>
      <c r="K150" t="str">
        <f t="shared" si="6"/>
        <v>HIGH</v>
      </c>
      <c r="L150" t="s">
        <v>26</v>
      </c>
    </row>
    <row r="151" spans="1:12" x14ac:dyDescent="0.25">
      <c r="A151" t="s">
        <v>1184</v>
      </c>
      <c r="B151" t="s">
        <v>789</v>
      </c>
      <c r="C151" t="s">
        <v>229</v>
      </c>
      <c r="D151" t="s">
        <v>171</v>
      </c>
      <c r="E151" t="s">
        <v>35</v>
      </c>
      <c r="F151" s="9">
        <v>67</v>
      </c>
      <c r="G151" s="9">
        <v>61</v>
      </c>
      <c r="H151" s="9">
        <v>6</v>
      </c>
      <c r="I151" s="9">
        <v>253</v>
      </c>
      <c r="J151" s="9">
        <v>247</v>
      </c>
      <c r="K151" t="str">
        <f t="shared" si="6"/>
        <v>HIGH</v>
      </c>
      <c r="L151" t="s">
        <v>26</v>
      </c>
    </row>
    <row r="152" spans="1:12" x14ac:dyDescent="0.25">
      <c r="A152" t="s">
        <v>1035</v>
      </c>
      <c r="B152" t="s">
        <v>789</v>
      </c>
      <c r="C152" t="s">
        <v>20</v>
      </c>
      <c r="D152" t="s">
        <v>830</v>
      </c>
      <c r="E152" t="s">
        <v>35</v>
      </c>
      <c r="F152" s="9">
        <v>73</v>
      </c>
      <c r="G152" s="9">
        <v>0</v>
      </c>
      <c r="H152" s="9">
        <v>73</v>
      </c>
      <c r="I152" s="9">
        <v>319</v>
      </c>
      <c r="J152" s="9">
        <v>246</v>
      </c>
      <c r="K152" t="str">
        <f t="shared" si="6"/>
        <v>HIGH</v>
      </c>
      <c r="L152" t="s">
        <v>26</v>
      </c>
    </row>
    <row r="153" spans="1:12" x14ac:dyDescent="0.25">
      <c r="A153" t="s">
        <v>17</v>
      </c>
      <c r="B153" t="s">
        <v>18</v>
      </c>
      <c r="C153" t="s">
        <v>20</v>
      </c>
      <c r="D153" t="s">
        <v>21</v>
      </c>
      <c r="E153" t="s">
        <v>62</v>
      </c>
      <c r="F153" s="9">
        <v>129</v>
      </c>
      <c r="G153" s="9">
        <v>67</v>
      </c>
      <c r="H153" s="9">
        <v>62</v>
      </c>
      <c r="I153" s="9">
        <v>307</v>
      </c>
      <c r="J153" s="9">
        <v>245</v>
      </c>
      <c r="K153" t="str">
        <f t="shared" si="6"/>
        <v>HIGH</v>
      </c>
      <c r="L153" t="s">
        <v>26</v>
      </c>
    </row>
    <row r="154" spans="1:12" x14ac:dyDescent="0.25">
      <c r="A154" t="s">
        <v>170</v>
      </c>
      <c r="B154" t="s">
        <v>18</v>
      </c>
      <c r="C154" t="s">
        <v>20</v>
      </c>
      <c r="D154" t="s">
        <v>171</v>
      </c>
      <c r="E154" t="s">
        <v>83</v>
      </c>
      <c r="F154" s="9">
        <v>122</v>
      </c>
      <c r="G154" s="9">
        <v>96</v>
      </c>
      <c r="H154" s="9">
        <v>26</v>
      </c>
      <c r="I154" s="9">
        <v>269</v>
      </c>
      <c r="J154" s="9">
        <v>243</v>
      </c>
      <c r="K154" t="str">
        <f t="shared" si="6"/>
        <v>HIGH</v>
      </c>
      <c r="L154" t="s">
        <v>26</v>
      </c>
    </row>
    <row r="155" spans="1:12" x14ac:dyDescent="0.25">
      <c r="A155" t="s">
        <v>735</v>
      </c>
      <c r="B155" t="s">
        <v>18</v>
      </c>
      <c r="C155" t="s">
        <v>601</v>
      </c>
      <c r="D155" t="s">
        <v>171</v>
      </c>
      <c r="E155" t="s">
        <v>35</v>
      </c>
      <c r="F155" s="9">
        <v>80</v>
      </c>
      <c r="G155" s="9">
        <v>59</v>
      </c>
      <c r="H155" s="9">
        <v>21</v>
      </c>
      <c r="I155" s="9">
        <v>263</v>
      </c>
      <c r="J155" s="9">
        <v>242</v>
      </c>
      <c r="K155" t="str">
        <f t="shared" si="6"/>
        <v>HIGH</v>
      </c>
      <c r="L155" t="s">
        <v>48</v>
      </c>
    </row>
    <row r="156" spans="1:12" x14ac:dyDescent="0.25">
      <c r="A156" t="s">
        <v>1103</v>
      </c>
      <c r="B156" t="s">
        <v>789</v>
      </c>
      <c r="C156" t="s">
        <v>229</v>
      </c>
      <c r="D156" t="s">
        <v>122</v>
      </c>
      <c r="E156" t="s">
        <v>62</v>
      </c>
      <c r="F156" s="9">
        <v>156</v>
      </c>
      <c r="G156" s="9">
        <v>12</v>
      </c>
      <c r="H156" s="9">
        <v>144</v>
      </c>
      <c r="I156" s="9">
        <v>386</v>
      </c>
      <c r="J156" s="9">
        <v>242</v>
      </c>
      <c r="K156" t="str">
        <f t="shared" si="6"/>
        <v>HIGH</v>
      </c>
      <c r="L156" t="s">
        <v>48</v>
      </c>
    </row>
    <row r="157" spans="1:12" x14ac:dyDescent="0.25">
      <c r="A157" t="s">
        <v>993</v>
      </c>
      <c r="B157" t="s">
        <v>789</v>
      </c>
      <c r="C157" t="s">
        <v>20</v>
      </c>
      <c r="D157" t="s">
        <v>171</v>
      </c>
      <c r="E157" t="s">
        <v>35</v>
      </c>
      <c r="F157" s="9">
        <v>115</v>
      </c>
      <c r="G157" s="9">
        <v>75</v>
      </c>
      <c r="H157" s="9">
        <v>40</v>
      </c>
      <c r="I157" s="9">
        <v>281</v>
      </c>
      <c r="J157" s="9">
        <v>241</v>
      </c>
      <c r="K157" t="str">
        <f t="shared" si="6"/>
        <v>HIGH</v>
      </c>
      <c r="L157" t="s">
        <v>26</v>
      </c>
    </row>
    <row r="158" spans="1:12" x14ac:dyDescent="0.25">
      <c r="A158" t="s">
        <v>1319</v>
      </c>
      <c r="B158" t="s">
        <v>789</v>
      </c>
      <c r="C158" t="s">
        <v>434</v>
      </c>
      <c r="D158" t="s">
        <v>122</v>
      </c>
      <c r="E158" t="s">
        <v>35</v>
      </c>
      <c r="F158" s="9">
        <v>69</v>
      </c>
      <c r="G158" s="9">
        <v>73</v>
      </c>
      <c r="H158" s="9">
        <v>0</v>
      </c>
      <c r="I158" s="9">
        <v>240</v>
      </c>
      <c r="J158" s="9">
        <v>240</v>
      </c>
      <c r="K158" t="str">
        <f t="shared" si="6"/>
        <v>CRITICAL</v>
      </c>
      <c r="L158" t="s">
        <v>26</v>
      </c>
    </row>
    <row r="159" spans="1:12" x14ac:dyDescent="0.25">
      <c r="A159" t="s">
        <v>305</v>
      </c>
      <c r="B159" t="s">
        <v>18</v>
      </c>
      <c r="C159" t="s">
        <v>229</v>
      </c>
      <c r="D159" t="s">
        <v>122</v>
      </c>
      <c r="E159" t="s">
        <v>35</v>
      </c>
      <c r="F159" s="9">
        <v>92</v>
      </c>
      <c r="G159" s="9">
        <v>30</v>
      </c>
      <c r="H159" s="9">
        <v>62</v>
      </c>
      <c r="I159" s="9">
        <v>301</v>
      </c>
      <c r="J159" s="9">
        <v>239</v>
      </c>
      <c r="K159" t="str">
        <f t="shared" si="6"/>
        <v>HIGH</v>
      </c>
      <c r="L159" t="s">
        <v>26</v>
      </c>
    </row>
    <row r="160" spans="1:12" x14ac:dyDescent="0.25">
      <c r="A160" t="s">
        <v>921</v>
      </c>
      <c r="B160" t="s">
        <v>789</v>
      </c>
      <c r="C160" t="s">
        <v>20</v>
      </c>
      <c r="D160" t="s">
        <v>122</v>
      </c>
      <c r="E160" t="s">
        <v>35</v>
      </c>
      <c r="F160" s="9">
        <v>149</v>
      </c>
      <c r="G160" s="9">
        <v>59</v>
      </c>
      <c r="H160" s="9">
        <v>90</v>
      </c>
      <c r="I160" s="9">
        <v>328</v>
      </c>
      <c r="J160" s="9">
        <v>238</v>
      </c>
      <c r="K160" t="str">
        <f t="shared" si="6"/>
        <v>HIGH</v>
      </c>
      <c r="L160" t="s">
        <v>26</v>
      </c>
    </row>
    <row r="161" spans="1:12" x14ac:dyDescent="0.25">
      <c r="A161" t="s">
        <v>1400</v>
      </c>
      <c r="B161" t="s">
        <v>789</v>
      </c>
      <c r="C161" t="s">
        <v>434</v>
      </c>
      <c r="D161" t="s">
        <v>171</v>
      </c>
      <c r="E161" t="s">
        <v>22</v>
      </c>
      <c r="F161" s="9">
        <v>7</v>
      </c>
      <c r="G161" s="9">
        <v>4</v>
      </c>
      <c r="H161" s="9">
        <v>3</v>
      </c>
      <c r="I161" s="9">
        <v>240</v>
      </c>
      <c r="J161" s="9">
        <v>237</v>
      </c>
      <c r="K161" t="str">
        <f t="shared" ref="K161:K224" si="7">IF(H161=0,"CRITICAL",IF(J161&gt;200,"HIGH","MEDIUM"))</f>
        <v>HIGH</v>
      </c>
      <c r="L161" t="s">
        <v>26</v>
      </c>
    </row>
    <row r="162" spans="1:12" x14ac:dyDescent="0.25">
      <c r="A162" t="s">
        <v>370</v>
      </c>
      <c r="B162" t="s">
        <v>18</v>
      </c>
      <c r="C162" t="s">
        <v>229</v>
      </c>
      <c r="D162" t="s">
        <v>171</v>
      </c>
      <c r="E162" t="s">
        <v>35</v>
      </c>
      <c r="F162" s="9">
        <v>115</v>
      </c>
      <c r="G162" s="9">
        <v>1</v>
      </c>
      <c r="H162" s="9">
        <v>114</v>
      </c>
      <c r="I162" s="9">
        <v>350</v>
      </c>
      <c r="J162" s="9">
        <v>236</v>
      </c>
      <c r="K162" t="str">
        <f t="shared" si="7"/>
        <v>HIGH</v>
      </c>
      <c r="L162" t="s">
        <v>48</v>
      </c>
    </row>
    <row r="163" spans="1:12" x14ac:dyDescent="0.25">
      <c r="A163" t="s">
        <v>1058</v>
      </c>
      <c r="B163" t="s">
        <v>789</v>
      </c>
      <c r="C163" t="s">
        <v>229</v>
      </c>
      <c r="D163" t="s">
        <v>21</v>
      </c>
      <c r="E163" t="s">
        <v>83</v>
      </c>
      <c r="F163" s="9">
        <v>153</v>
      </c>
      <c r="G163" s="9">
        <v>27</v>
      </c>
      <c r="H163" s="9">
        <v>126</v>
      </c>
      <c r="I163" s="9">
        <v>362</v>
      </c>
      <c r="J163" s="9">
        <v>236</v>
      </c>
      <c r="K163" t="str">
        <f t="shared" si="7"/>
        <v>HIGH</v>
      </c>
      <c r="L163" t="s">
        <v>26</v>
      </c>
    </row>
    <row r="164" spans="1:12" x14ac:dyDescent="0.25">
      <c r="A164" t="s">
        <v>1465</v>
      </c>
      <c r="B164" t="s">
        <v>789</v>
      </c>
      <c r="C164" t="s">
        <v>601</v>
      </c>
      <c r="D164" t="s">
        <v>21</v>
      </c>
      <c r="E164" t="s">
        <v>22</v>
      </c>
      <c r="F164" s="9">
        <v>8</v>
      </c>
      <c r="G164" s="9">
        <v>4</v>
      </c>
      <c r="H164" s="9">
        <v>4</v>
      </c>
      <c r="I164" s="9">
        <v>240</v>
      </c>
      <c r="J164" s="9">
        <v>236</v>
      </c>
      <c r="K164" t="str">
        <f t="shared" si="7"/>
        <v>HIGH</v>
      </c>
      <c r="L164" t="s">
        <v>26</v>
      </c>
    </row>
    <row r="165" spans="1:12" x14ac:dyDescent="0.25">
      <c r="A165" t="s">
        <v>816</v>
      </c>
      <c r="B165" t="s">
        <v>789</v>
      </c>
      <c r="C165" t="s">
        <v>601</v>
      </c>
      <c r="D165" t="s">
        <v>817</v>
      </c>
      <c r="E165" t="s">
        <v>29</v>
      </c>
      <c r="F165" s="9">
        <v>128</v>
      </c>
      <c r="G165" s="9">
        <v>3</v>
      </c>
      <c r="H165" s="9">
        <v>125</v>
      </c>
      <c r="I165" s="9">
        <v>358</v>
      </c>
      <c r="J165" s="9">
        <v>233</v>
      </c>
      <c r="K165" t="str">
        <f t="shared" si="7"/>
        <v>HIGH</v>
      </c>
      <c r="L165" t="s">
        <v>26</v>
      </c>
    </row>
    <row r="166" spans="1:12" x14ac:dyDescent="0.25">
      <c r="A166" t="s">
        <v>1058</v>
      </c>
      <c r="B166" t="s">
        <v>789</v>
      </c>
      <c r="C166" t="s">
        <v>229</v>
      </c>
      <c r="D166" t="s">
        <v>21</v>
      </c>
      <c r="E166" t="s">
        <v>22</v>
      </c>
      <c r="F166" s="9">
        <v>9</v>
      </c>
      <c r="G166" s="9">
        <v>4</v>
      </c>
      <c r="H166" s="9">
        <v>5</v>
      </c>
      <c r="I166" s="9">
        <v>238</v>
      </c>
      <c r="J166" s="9">
        <v>233</v>
      </c>
      <c r="K166" t="str">
        <f t="shared" si="7"/>
        <v>HIGH</v>
      </c>
      <c r="L166" t="s">
        <v>26</v>
      </c>
    </row>
    <row r="167" spans="1:12" x14ac:dyDescent="0.25">
      <c r="A167" t="s">
        <v>1253</v>
      </c>
      <c r="B167" t="s">
        <v>789</v>
      </c>
      <c r="C167" t="s">
        <v>434</v>
      </c>
      <c r="D167" t="s">
        <v>21</v>
      </c>
      <c r="E167" t="s">
        <v>83</v>
      </c>
      <c r="F167" s="9">
        <v>99</v>
      </c>
      <c r="G167" s="9">
        <v>50</v>
      </c>
      <c r="H167" s="9">
        <v>49</v>
      </c>
      <c r="I167" s="9">
        <v>282</v>
      </c>
      <c r="J167" s="9">
        <v>233</v>
      </c>
      <c r="K167" t="str">
        <f t="shared" si="7"/>
        <v>HIGH</v>
      </c>
      <c r="L167" t="s">
        <v>26</v>
      </c>
    </row>
    <row r="168" spans="1:12" x14ac:dyDescent="0.25">
      <c r="A168" t="s">
        <v>1378</v>
      </c>
      <c r="B168" t="s">
        <v>789</v>
      </c>
      <c r="C168" t="s">
        <v>434</v>
      </c>
      <c r="D168" t="s">
        <v>804</v>
      </c>
      <c r="E168" t="s">
        <v>29</v>
      </c>
      <c r="F168" s="9">
        <v>158</v>
      </c>
      <c r="G168" s="9">
        <v>8</v>
      </c>
      <c r="H168" s="9">
        <v>150</v>
      </c>
      <c r="I168" s="9">
        <v>382</v>
      </c>
      <c r="J168" s="9">
        <v>232</v>
      </c>
      <c r="K168" t="str">
        <f t="shared" si="7"/>
        <v>HIGH</v>
      </c>
      <c r="L168" t="s">
        <v>26</v>
      </c>
    </row>
    <row r="169" spans="1:12" x14ac:dyDescent="0.25">
      <c r="A169" t="s">
        <v>121</v>
      </c>
      <c r="B169" t="s">
        <v>18</v>
      </c>
      <c r="C169" t="s">
        <v>20</v>
      </c>
      <c r="D169" t="s">
        <v>122</v>
      </c>
      <c r="E169" t="s">
        <v>35</v>
      </c>
      <c r="F169" s="9">
        <v>110</v>
      </c>
      <c r="G169" s="9">
        <v>5</v>
      </c>
      <c r="H169" s="9">
        <v>105</v>
      </c>
      <c r="I169" s="9">
        <v>336</v>
      </c>
      <c r="J169" s="9">
        <v>231</v>
      </c>
      <c r="K169" t="str">
        <f t="shared" si="7"/>
        <v>HIGH</v>
      </c>
      <c r="L169" t="s">
        <v>26</v>
      </c>
    </row>
    <row r="170" spans="1:12" x14ac:dyDescent="0.25">
      <c r="A170" t="s">
        <v>735</v>
      </c>
      <c r="B170" t="s">
        <v>18</v>
      </c>
      <c r="C170" t="s">
        <v>601</v>
      </c>
      <c r="D170" t="s">
        <v>171</v>
      </c>
      <c r="E170" t="s">
        <v>35</v>
      </c>
      <c r="F170" s="9">
        <v>171</v>
      </c>
      <c r="G170" s="9">
        <v>55</v>
      </c>
      <c r="H170" s="9">
        <v>116</v>
      </c>
      <c r="I170" s="9">
        <v>347</v>
      </c>
      <c r="J170" s="9">
        <v>231</v>
      </c>
      <c r="K170" t="str">
        <f t="shared" si="7"/>
        <v>HIGH</v>
      </c>
      <c r="L170" t="s">
        <v>26</v>
      </c>
    </row>
    <row r="171" spans="1:12" x14ac:dyDescent="0.25">
      <c r="A171" t="s">
        <v>1184</v>
      </c>
      <c r="B171" t="s">
        <v>789</v>
      </c>
      <c r="C171" t="s">
        <v>229</v>
      </c>
      <c r="D171" t="s">
        <v>171</v>
      </c>
      <c r="E171" t="s">
        <v>83</v>
      </c>
      <c r="F171" s="9">
        <v>114</v>
      </c>
      <c r="G171" s="9">
        <v>88</v>
      </c>
      <c r="H171" s="9">
        <v>26</v>
      </c>
      <c r="I171" s="9">
        <v>257</v>
      </c>
      <c r="J171" s="9">
        <v>231</v>
      </c>
      <c r="K171" t="str">
        <f t="shared" si="7"/>
        <v>HIGH</v>
      </c>
      <c r="L171" t="s">
        <v>26</v>
      </c>
    </row>
    <row r="172" spans="1:12" x14ac:dyDescent="0.25">
      <c r="A172" t="s">
        <v>1454</v>
      </c>
      <c r="B172" t="s">
        <v>789</v>
      </c>
      <c r="C172" t="s">
        <v>434</v>
      </c>
      <c r="D172" t="s">
        <v>843</v>
      </c>
      <c r="E172" t="s">
        <v>62</v>
      </c>
      <c r="F172" s="9">
        <v>79</v>
      </c>
      <c r="G172" s="9">
        <v>9</v>
      </c>
      <c r="H172" s="9">
        <v>70</v>
      </c>
      <c r="I172" s="9">
        <v>301</v>
      </c>
      <c r="J172" s="9">
        <v>231</v>
      </c>
      <c r="K172" t="str">
        <f t="shared" si="7"/>
        <v>HIGH</v>
      </c>
      <c r="L172" t="s">
        <v>26</v>
      </c>
    </row>
    <row r="173" spans="1:12" x14ac:dyDescent="0.25">
      <c r="A173" t="s">
        <v>170</v>
      </c>
      <c r="B173" t="s">
        <v>18</v>
      </c>
      <c r="C173" t="s">
        <v>20</v>
      </c>
      <c r="D173" t="s">
        <v>171</v>
      </c>
      <c r="E173" t="s">
        <v>62</v>
      </c>
      <c r="F173" s="9">
        <v>71</v>
      </c>
      <c r="G173" s="9">
        <v>70</v>
      </c>
      <c r="H173" s="9">
        <v>1</v>
      </c>
      <c r="I173" s="9">
        <v>228</v>
      </c>
      <c r="J173" s="9">
        <v>227</v>
      </c>
      <c r="K173" t="str">
        <f t="shared" si="7"/>
        <v>HIGH</v>
      </c>
      <c r="L173" t="s">
        <v>26</v>
      </c>
    </row>
    <row r="174" spans="1:12" x14ac:dyDescent="0.25">
      <c r="A174" t="s">
        <v>1500</v>
      </c>
      <c r="B174" t="s">
        <v>789</v>
      </c>
      <c r="C174" t="s">
        <v>601</v>
      </c>
      <c r="D174" t="s">
        <v>122</v>
      </c>
      <c r="E174" t="s">
        <v>35</v>
      </c>
      <c r="F174" s="9">
        <v>87</v>
      </c>
      <c r="G174" s="9">
        <v>9</v>
      </c>
      <c r="H174" s="9">
        <v>78</v>
      </c>
      <c r="I174" s="9">
        <v>305</v>
      </c>
      <c r="J174" s="9">
        <v>227</v>
      </c>
      <c r="K174" t="str">
        <f t="shared" si="7"/>
        <v>HIGH</v>
      </c>
      <c r="L174" t="s">
        <v>26</v>
      </c>
    </row>
    <row r="175" spans="1:12" x14ac:dyDescent="0.25">
      <c r="A175" t="s">
        <v>121</v>
      </c>
      <c r="B175" t="s">
        <v>18</v>
      </c>
      <c r="C175" t="s">
        <v>20</v>
      </c>
      <c r="D175" t="s">
        <v>122</v>
      </c>
      <c r="E175" t="s">
        <v>83</v>
      </c>
      <c r="F175" s="9">
        <v>167</v>
      </c>
      <c r="G175" s="9">
        <v>88</v>
      </c>
      <c r="H175" s="9">
        <v>79</v>
      </c>
      <c r="I175" s="9">
        <v>304</v>
      </c>
      <c r="J175" s="9">
        <v>225</v>
      </c>
      <c r="K175" t="str">
        <f t="shared" si="7"/>
        <v>HIGH</v>
      </c>
      <c r="L175" t="s">
        <v>48</v>
      </c>
    </row>
    <row r="176" spans="1:12" x14ac:dyDescent="0.25">
      <c r="A176" t="s">
        <v>370</v>
      </c>
      <c r="B176" t="s">
        <v>18</v>
      </c>
      <c r="C176" t="s">
        <v>229</v>
      </c>
      <c r="D176" t="s">
        <v>171</v>
      </c>
      <c r="E176" t="s">
        <v>62</v>
      </c>
      <c r="F176" s="9">
        <v>96</v>
      </c>
      <c r="G176" s="9">
        <v>33</v>
      </c>
      <c r="H176" s="9">
        <v>63</v>
      </c>
      <c r="I176" s="9">
        <v>288</v>
      </c>
      <c r="J176" s="9">
        <v>225</v>
      </c>
      <c r="K176" t="str">
        <f t="shared" si="7"/>
        <v>HIGH</v>
      </c>
      <c r="L176" t="s">
        <v>48</v>
      </c>
    </row>
    <row r="177" spans="1:12" x14ac:dyDescent="0.25">
      <c r="A177" t="s">
        <v>735</v>
      </c>
      <c r="B177" t="s">
        <v>18</v>
      </c>
      <c r="C177" t="s">
        <v>601</v>
      </c>
      <c r="D177" t="s">
        <v>171</v>
      </c>
      <c r="E177" t="s">
        <v>83</v>
      </c>
      <c r="F177" s="9">
        <v>98</v>
      </c>
      <c r="G177" s="9">
        <v>87</v>
      </c>
      <c r="H177" s="9">
        <v>11</v>
      </c>
      <c r="I177" s="9">
        <v>232</v>
      </c>
      <c r="J177" s="9">
        <v>221</v>
      </c>
      <c r="K177" t="str">
        <f t="shared" si="7"/>
        <v>HIGH</v>
      </c>
      <c r="L177" t="s">
        <v>26</v>
      </c>
    </row>
    <row r="178" spans="1:12" x14ac:dyDescent="0.25">
      <c r="A178" t="s">
        <v>1103</v>
      </c>
      <c r="B178" t="s">
        <v>789</v>
      </c>
      <c r="C178" t="s">
        <v>229</v>
      </c>
      <c r="D178" t="s">
        <v>122</v>
      </c>
      <c r="E178" t="s">
        <v>83</v>
      </c>
      <c r="F178" s="9">
        <v>117</v>
      </c>
      <c r="G178" s="9">
        <v>35</v>
      </c>
      <c r="H178" s="9">
        <v>82</v>
      </c>
      <c r="I178" s="9">
        <v>303</v>
      </c>
      <c r="J178" s="9">
        <v>221</v>
      </c>
      <c r="K178" t="str">
        <f t="shared" si="7"/>
        <v>HIGH</v>
      </c>
      <c r="L178" t="s">
        <v>48</v>
      </c>
    </row>
    <row r="179" spans="1:12" x14ac:dyDescent="0.25">
      <c r="A179" t="s">
        <v>1253</v>
      </c>
      <c r="B179" t="s">
        <v>789</v>
      </c>
      <c r="C179" t="s">
        <v>434</v>
      </c>
      <c r="D179" t="s">
        <v>21</v>
      </c>
      <c r="E179" t="s">
        <v>83</v>
      </c>
      <c r="F179" s="9">
        <v>98</v>
      </c>
      <c r="G179" s="9">
        <v>80</v>
      </c>
      <c r="H179" s="9">
        <v>18</v>
      </c>
      <c r="I179" s="9">
        <v>238</v>
      </c>
      <c r="J179" s="9">
        <v>220</v>
      </c>
      <c r="K179" t="str">
        <f t="shared" si="7"/>
        <v>HIGH</v>
      </c>
      <c r="L179" t="s">
        <v>26</v>
      </c>
    </row>
    <row r="180" spans="1:12" x14ac:dyDescent="0.25">
      <c r="A180" t="s">
        <v>433</v>
      </c>
      <c r="B180" t="s">
        <v>18</v>
      </c>
      <c r="C180" t="s">
        <v>434</v>
      </c>
      <c r="D180" t="s">
        <v>21</v>
      </c>
      <c r="E180" t="s">
        <v>83</v>
      </c>
      <c r="F180" s="9">
        <v>111</v>
      </c>
      <c r="G180" s="9">
        <v>75</v>
      </c>
      <c r="H180" s="9">
        <v>36</v>
      </c>
      <c r="I180" s="9">
        <v>255</v>
      </c>
      <c r="J180" s="9">
        <v>219</v>
      </c>
      <c r="K180" t="str">
        <f t="shared" si="7"/>
        <v>HIGH</v>
      </c>
      <c r="L180" t="s">
        <v>26</v>
      </c>
    </row>
    <row r="181" spans="1:12" x14ac:dyDescent="0.25">
      <c r="A181" t="s">
        <v>675</v>
      </c>
      <c r="B181" t="s">
        <v>18</v>
      </c>
      <c r="C181" t="s">
        <v>601</v>
      </c>
      <c r="D181" t="s">
        <v>122</v>
      </c>
      <c r="E181" t="s">
        <v>22</v>
      </c>
      <c r="F181" s="9">
        <v>4</v>
      </c>
      <c r="G181" s="9">
        <v>0</v>
      </c>
      <c r="H181" s="9">
        <v>4</v>
      </c>
      <c r="I181" s="9">
        <v>223</v>
      </c>
      <c r="J181" s="9">
        <v>219</v>
      </c>
      <c r="K181" t="str">
        <f t="shared" si="7"/>
        <v>HIGH</v>
      </c>
      <c r="L181" t="s">
        <v>26</v>
      </c>
    </row>
    <row r="182" spans="1:12" x14ac:dyDescent="0.25">
      <c r="A182" t="s">
        <v>1834</v>
      </c>
      <c r="B182" t="s">
        <v>1612</v>
      </c>
      <c r="C182" t="s">
        <v>229</v>
      </c>
      <c r="D182" t="s">
        <v>122</v>
      </c>
      <c r="E182" t="s">
        <v>35</v>
      </c>
      <c r="F182" s="9">
        <v>217</v>
      </c>
      <c r="G182" s="9">
        <v>64</v>
      </c>
      <c r="H182" s="9">
        <v>153</v>
      </c>
      <c r="I182" s="9">
        <v>372</v>
      </c>
      <c r="J182" s="9">
        <v>219</v>
      </c>
      <c r="K182" t="str">
        <f t="shared" si="7"/>
        <v>HIGH</v>
      </c>
      <c r="L182" t="s">
        <v>26</v>
      </c>
    </row>
    <row r="183" spans="1:12" x14ac:dyDescent="0.25">
      <c r="A183" t="s">
        <v>17</v>
      </c>
      <c r="B183" t="s">
        <v>18</v>
      </c>
      <c r="C183" t="s">
        <v>20</v>
      </c>
      <c r="D183" t="s">
        <v>21</v>
      </c>
      <c r="E183" t="s">
        <v>83</v>
      </c>
      <c r="F183" s="9">
        <v>179</v>
      </c>
      <c r="G183" s="9">
        <v>81</v>
      </c>
      <c r="H183" s="9">
        <v>98</v>
      </c>
      <c r="I183" s="9">
        <v>316</v>
      </c>
      <c r="J183" s="9">
        <v>218</v>
      </c>
      <c r="K183" t="str">
        <f t="shared" si="7"/>
        <v>HIGH</v>
      </c>
      <c r="L183" t="s">
        <v>26</v>
      </c>
    </row>
    <row r="184" spans="1:12" x14ac:dyDescent="0.25">
      <c r="A184" t="s">
        <v>600</v>
      </c>
      <c r="B184" t="s">
        <v>18</v>
      </c>
      <c r="C184" t="s">
        <v>601</v>
      </c>
      <c r="D184" t="s">
        <v>21</v>
      </c>
      <c r="E184" t="s">
        <v>35</v>
      </c>
      <c r="F184" s="9">
        <v>126</v>
      </c>
      <c r="G184" s="9">
        <v>71</v>
      </c>
      <c r="H184" s="9">
        <v>55</v>
      </c>
      <c r="I184" s="9">
        <v>273</v>
      </c>
      <c r="J184" s="9">
        <v>218</v>
      </c>
      <c r="K184" t="str">
        <f t="shared" si="7"/>
        <v>HIGH</v>
      </c>
      <c r="L184" t="s">
        <v>26</v>
      </c>
    </row>
    <row r="185" spans="1:12" x14ac:dyDescent="0.25">
      <c r="A185" t="s">
        <v>228</v>
      </c>
      <c r="B185" t="s">
        <v>18</v>
      </c>
      <c r="C185" t="s">
        <v>229</v>
      </c>
      <c r="D185" t="s">
        <v>21</v>
      </c>
      <c r="E185" t="s">
        <v>83</v>
      </c>
      <c r="F185" s="9">
        <v>112</v>
      </c>
      <c r="G185" s="9">
        <v>74</v>
      </c>
      <c r="H185" s="9">
        <v>38</v>
      </c>
      <c r="I185" s="9">
        <v>254</v>
      </c>
      <c r="J185" s="9">
        <v>216</v>
      </c>
      <c r="K185" t="str">
        <f t="shared" si="7"/>
        <v>HIGH</v>
      </c>
      <c r="L185" t="s">
        <v>26</v>
      </c>
    </row>
    <row r="186" spans="1:12" x14ac:dyDescent="0.25">
      <c r="A186" t="s">
        <v>305</v>
      </c>
      <c r="B186" t="s">
        <v>18</v>
      </c>
      <c r="C186" t="s">
        <v>229</v>
      </c>
      <c r="D186" t="s">
        <v>122</v>
      </c>
      <c r="E186" t="s">
        <v>83</v>
      </c>
      <c r="F186" s="9">
        <v>116</v>
      </c>
      <c r="G186" s="9">
        <v>14</v>
      </c>
      <c r="H186" s="9">
        <v>102</v>
      </c>
      <c r="I186" s="9">
        <v>318</v>
      </c>
      <c r="J186" s="9">
        <v>216</v>
      </c>
      <c r="K186" t="str">
        <f t="shared" si="7"/>
        <v>HIGH</v>
      </c>
      <c r="L186" t="s">
        <v>26</v>
      </c>
    </row>
    <row r="187" spans="1:12" x14ac:dyDescent="0.25">
      <c r="A187" t="s">
        <v>993</v>
      </c>
      <c r="B187" t="s">
        <v>789</v>
      </c>
      <c r="C187" t="s">
        <v>20</v>
      </c>
      <c r="D187" t="s">
        <v>171</v>
      </c>
      <c r="E187" t="s">
        <v>83</v>
      </c>
      <c r="F187" s="9">
        <v>154</v>
      </c>
      <c r="G187" s="9">
        <v>12</v>
      </c>
      <c r="H187" s="9">
        <v>142</v>
      </c>
      <c r="I187" s="9">
        <v>358</v>
      </c>
      <c r="J187" s="9">
        <v>216</v>
      </c>
      <c r="K187" t="str">
        <f t="shared" si="7"/>
        <v>HIGH</v>
      </c>
      <c r="L187" t="s">
        <v>48</v>
      </c>
    </row>
    <row r="188" spans="1:12" x14ac:dyDescent="0.25">
      <c r="A188" t="s">
        <v>1241</v>
      </c>
      <c r="B188" t="s">
        <v>789</v>
      </c>
      <c r="C188" t="s">
        <v>229</v>
      </c>
      <c r="D188" t="s">
        <v>843</v>
      </c>
      <c r="E188" t="s">
        <v>35</v>
      </c>
      <c r="F188" s="9">
        <v>71</v>
      </c>
      <c r="G188" s="9">
        <v>4</v>
      </c>
      <c r="H188" s="9">
        <v>67</v>
      </c>
      <c r="I188" s="9">
        <v>281</v>
      </c>
      <c r="J188" s="9">
        <v>214</v>
      </c>
      <c r="K188" t="str">
        <f t="shared" si="7"/>
        <v>HIGH</v>
      </c>
      <c r="L188" t="s">
        <v>26</v>
      </c>
    </row>
    <row r="189" spans="1:12" x14ac:dyDescent="0.25">
      <c r="A189" t="s">
        <v>1058</v>
      </c>
      <c r="B189" t="s">
        <v>789</v>
      </c>
      <c r="C189" t="s">
        <v>229</v>
      </c>
      <c r="D189" t="s">
        <v>21</v>
      </c>
      <c r="E189" t="s">
        <v>62</v>
      </c>
      <c r="F189" s="9">
        <v>97</v>
      </c>
      <c r="G189" s="9">
        <v>51</v>
      </c>
      <c r="H189" s="9">
        <v>46</v>
      </c>
      <c r="I189" s="9">
        <v>259</v>
      </c>
      <c r="J189" s="9">
        <v>213</v>
      </c>
      <c r="K189" t="str">
        <f t="shared" si="7"/>
        <v>HIGH</v>
      </c>
      <c r="L189" t="s">
        <v>26</v>
      </c>
    </row>
    <row r="190" spans="1:12" x14ac:dyDescent="0.25">
      <c r="A190" t="s">
        <v>735</v>
      </c>
      <c r="B190" t="s">
        <v>18</v>
      </c>
      <c r="C190" t="s">
        <v>601</v>
      </c>
      <c r="D190" t="s">
        <v>171</v>
      </c>
      <c r="E190" t="s">
        <v>62</v>
      </c>
      <c r="F190" s="9">
        <v>114</v>
      </c>
      <c r="G190" s="9">
        <v>5</v>
      </c>
      <c r="H190" s="9">
        <v>109</v>
      </c>
      <c r="I190" s="9">
        <v>321</v>
      </c>
      <c r="J190" s="9">
        <v>212</v>
      </c>
      <c r="K190" t="str">
        <f t="shared" si="7"/>
        <v>HIGH</v>
      </c>
      <c r="L190" t="s">
        <v>26</v>
      </c>
    </row>
    <row r="191" spans="1:12" x14ac:dyDescent="0.25">
      <c r="A191" t="s">
        <v>1150</v>
      </c>
      <c r="B191" t="s">
        <v>789</v>
      </c>
      <c r="C191" t="s">
        <v>229</v>
      </c>
      <c r="D191" t="s">
        <v>790</v>
      </c>
      <c r="E191" t="s">
        <v>62</v>
      </c>
      <c r="F191" s="9">
        <v>130</v>
      </c>
      <c r="G191" s="9">
        <v>1</v>
      </c>
      <c r="H191" s="9">
        <v>129</v>
      </c>
      <c r="I191" s="9">
        <v>341</v>
      </c>
      <c r="J191" s="9">
        <v>212</v>
      </c>
      <c r="K191" t="str">
        <f t="shared" si="7"/>
        <v>HIGH</v>
      </c>
      <c r="L191" t="s">
        <v>26</v>
      </c>
    </row>
    <row r="192" spans="1:12" x14ac:dyDescent="0.25">
      <c r="A192" t="s">
        <v>600</v>
      </c>
      <c r="B192" t="s">
        <v>18</v>
      </c>
      <c r="C192" t="s">
        <v>601</v>
      </c>
      <c r="D192" t="s">
        <v>21</v>
      </c>
      <c r="E192" t="s">
        <v>62</v>
      </c>
      <c r="F192" s="9">
        <v>126</v>
      </c>
      <c r="G192" s="9">
        <v>2</v>
      </c>
      <c r="H192" s="9">
        <v>124</v>
      </c>
      <c r="I192" s="9">
        <v>335</v>
      </c>
      <c r="J192" s="9">
        <v>211</v>
      </c>
      <c r="K192" t="str">
        <f t="shared" si="7"/>
        <v>HIGH</v>
      </c>
      <c r="L192" t="s">
        <v>26</v>
      </c>
    </row>
    <row r="193" spans="1:12" x14ac:dyDescent="0.25">
      <c r="A193" t="s">
        <v>1103</v>
      </c>
      <c r="B193" t="s">
        <v>789</v>
      </c>
      <c r="C193" t="s">
        <v>229</v>
      </c>
      <c r="D193" t="s">
        <v>122</v>
      </c>
      <c r="E193" t="s">
        <v>35</v>
      </c>
      <c r="F193" s="9">
        <v>189</v>
      </c>
      <c r="G193" s="9">
        <v>70</v>
      </c>
      <c r="H193" s="9">
        <v>119</v>
      </c>
      <c r="I193" s="9">
        <v>330</v>
      </c>
      <c r="J193" s="9">
        <v>211</v>
      </c>
      <c r="K193" t="str">
        <f t="shared" si="7"/>
        <v>HIGH</v>
      </c>
      <c r="L193" t="s">
        <v>26</v>
      </c>
    </row>
    <row r="194" spans="1:12" x14ac:dyDescent="0.25">
      <c r="A194" t="s">
        <v>1253</v>
      </c>
      <c r="B194" t="s">
        <v>789</v>
      </c>
      <c r="C194" t="s">
        <v>434</v>
      </c>
      <c r="D194" t="s">
        <v>21</v>
      </c>
      <c r="E194" t="s">
        <v>62</v>
      </c>
      <c r="F194" s="9">
        <v>112</v>
      </c>
      <c r="G194" s="9">
        <v>0</v>
      </c>
      <c r="H194" s="9">
        <v>112</v>
      </c>
      <c r="I194" s="9">
        <v>322</v>
      </c>
      <c r="J194" s="9">
        <v>210</v>
      </c>
      <c r="K194" t="str">
        <f t="shared" si="7"/>
        <v>HIGH</v>
      </c>
      <c r="L194" t="s">
        <v>26</v>
      </c>
    </row>
    <row r="195" spans="1:12" x14ac:dyDescent="0.25">
      <c r="A195" t="s">
        <v>228</v>
      </c>
      <c r="B195" t="s">
        <v>18</v>
      </c>
      <c r="C195" t="s">
        <v>229</v>
      </c>
      <c r="D195" t="s">
        <v>21</v>
      </c>
      <c r="E195" t="s">
        <v>83</v>
      </c>
      <c r="F195" s="9">
        <v>167</v>
      </c>
      <c r="G195" s="9">
        <v>36</v>
      </c>
      <c r="H195" s="9">
        <v>131</v>
      </c>
      <c r="I195" s="9">
        <v>340</v>
      </c>
      <c r="J195" s="9">
        <v>209</v>
      </c>
      <c r="K195" t="str">
        <f t="shared" si="7"/>
        <v>HIGH</v>
      </c>
      <c r="L195" t="s">
        <v>48</v>
      </c>
    </row>
    <row r="196" spans="1:12" x14ac:dyDescent="0.25">
      <c r="A196" t="s">
        <v>554</v>
      </c>
      <c r="B196" t="s">
        <v>18</v>
      </c>
      <c r="C196" t="s">
        <v>434</v>
      </c>
      <c r="D196" t="s">
        <v>171</v>
      </c>
      <c r="E196" t="s">
        <v>62</v>
      </c>
      <c r="F196" s="9">
        <v>107</v>
      </c>
      <c r="G196" s="9">
        <v>26</v>
      </c>
      <c r="H196" s="9">
        <v>81</v>
      </c>
      <c r="I196" s="9">
        <v>290</v>
      </c>
      <c r="J196" s="9">
        <v>209</v>
      </c>
      <c r="K196" t="str">
        <f t="shared" si="7"/>
        <v>HIGH</v>
      </c>
      <c r="L196" t="s">
        <v>48</v>
      </c>
    </row>
    <row r="197" spans="1:12" x14ac:dyDescent="0.25">
      <c r="A197" t="s">
        <v>600</v>
      </c>
      <c r="B197" t="s">
        <v>18</v>
      </c>
      <c r="C197" t="s">
        <v>601</v>
      </c>
      <c r="D197" t="s">
        <v>21</v>
      </c>
      <c r="E197" t="s">
        <v>83</v>
      </c>
      <c r="F197" s="9">
        <v>131</v>
      </c>
      <c r="G197" s="9">
        <v>90</v>
      </c>
      <c r="H197" s="9">
        <v>41</v>
      </c>
      <c r="I197" s="9">
        <v>250</v>
      </c>
      <c r="J197" s="9">
        <v>209</v>
      </c>
      <c r="K197" t="str">
        <f t="shared" si="7"/>
        <v>HIGH</v>
      </c>
      <c r="L197" t="s">
        <v>48</v>
      </c>
    </row>
    <row r="198" spans="1:12" x14ac:dyDescent="0.25">
      <c r="A198" t="s">
        <v>1368</v>
      </c>
      <c r="B198" t="s">
        <v>789</v>
      </c>
      <c r="C198" t="s">
        <v>434</v>
      </c>
      <c r="D198" t="s">
        <v>790</v>
      </c>
      <c r="E198" t="s">
        <v>35</v>
      </c>
      <c r="F198" s="9">
        <v>149</v>
      </c>
      <c r="G198" s="9">
        <v>6</v>
      </c>
      <c r="H198" s="9">
        <v>143</v>
      </c>
      <c r="I198" s="9">
        <v>352</v>
      </c>
      <c r="J198" s="9">
        <v>209</v>
      </c>
      <c r="K198" t="str">
        <f t="shared" si="7"/>
        <v>HIGH</v>
      </c>
      <c r="L198" t="s">
        <v>26</v>
      </c>
    </row>
    <row r="199" spans="1:12" x14ac:dyDescent="0.25">
      <c r="A199" t="s">
        <v>121</v>
      </c>
      <c r="B199" t="s">
        <v>18</v>
      </c>
      <c r="C199" t="s">
        <v>20</v>
      </c>
      <c r="D199" t="s">
        <v>122</v>
      </c>
      <c r="E199" t="s">
        <v>35</v>
      </c>
      <c r="F199" s="9">
        <v>140</v>
      </c>
      <c r="G199" s="9">
        <v>50</v>
      </c>
      <c r="H199" s="9">
        <v>90</v>
      </c>
      <c r="I199" s="9">
        <v>296</v>
      </c>
      <c r="J199" s="9">
        <v>206</v>
      </c>
      <c r="K199" t="str">
        <f t="shared" si="7"/>
        <v>HIGH</v>
      </c>
      <c r="L199" t="s">
        <v>26</v>
      </c>
    </row>
    <row r="200" spans="1:12" x14ac:dyDescent="0.25">
      <c r="A200" t="s">
        <v>554</v>
      </c>
      <c r="B200" t="s">
        <v>18</v>
      </c>
      <c r="C200" t="s">
        <v>434</v>
      </c>
      <c r="D200" t="s">
        <v>171</v>
      </c>
      <c r="E200" t="s">
        <v>83</v>
      </c>
      <c r="F200" s="9">
        <v>66</v>
      </c>
      <c r="G200" s="9">
        <v>74</v>
      </c>
      <c r="H200" s="9">
        <v>0</v>
      </c>
      <c r="I200" s="9">
        <v>206</v>
      </c>
      <c r="J200" s="9">
        <v>206</v>
      </c>
      <c r="K200" t="str">
        <f t="shared" si="7"/>
        <v>CRITICAL</v>
      </c>
      <c r="L200" t="s">
        <v>26</v>
      </c>
    </row>
    <row r="201" spans="1:12" x14ac:dyDescent="0.25">
      <c r="A201" t="s">
        <v>1253</v>
      </c>
      <c r="B201" t="s">
        <v>789</v>
      </c>
      <c r="C201" t="s">
        <v>434</v>
      </c>
      <c r="D201" t="s">
        <v>21</v>
      </c>
      <c r="E201" t="s">
        <v>62</v>
      </c>
      <c r="F201" s="9">
        <v>116</v>
      </c>
      <c r="G201" s="9">
        <v>73</v>
      </c>
      <c r="H201" s="9">
        <v>43</v>
      </c>
      <c r="I201" s="9">
        <v>249</v>
      </c>
      <c r="J201" s="9">
        <v>206</v>
      </c>
      <c r="K201" t="str">
        <f t="shared" si="7"/>
        <v>HIGH</v>
      </c>
      <c r="L201" t="s">
        <v>48</v>
      </c>
    </row>
    <row r="202" spans="1:12" x14ac:dyDescent="0.25">
      <c r="A202" t="s">
        <v>1046</v>
      </c>
      <c r="B202" t="s">
        <v>789</v>
      </c>
      <c r="C202" t="s">
        <v>20</v>
      </c>
      <c r="D202" t="s">
        <v>843</v>
      </c>
      <c r="E202" t="s">
        <v>62</v>
      </c>
      <c r="F202" s="9">
        <v>129</v>
      </c>
      <c r="G202" s="9">
        <v>0</v>
      </c>
      <c r="H202" s="9">
        <v>129</v>
      </c>
      <c r="I202" s="9">
        <v>334</v>
      </c>
      <c r="J202" s="9">
        <v>205</v>
      </c>
      <c r="K202" t="str">
        <f t="shared" si="7"/>
        <v>HIGH</v>
      </c>
      <c r="L202" t="s">
        <v>26</v>
      </c>
    </row>
    <row r="203" spans="1:12" x14ac:dyDescent="0.25">
      <c r="A203" t="s">
        <v>228</v>
      </c>
      <c r="B203" t="s">
        <v>18</v>
      </c>
      <c r="C203" t="s">
        <v>229</v>
      </c>
      <c r="D203" t="s">
        <v>21</v>
      </c>
      <c r="E203" t="s">
        <v>62</v>
      </c>
      <c r="F203" s="9">
        <v>158</v>
      </c>
      <c r="G203" s="9">
        <v>55</v>
      </c>
      <c r="H203" s="9">
        <v>103</v>
      </c>
      <c r="I203" s="9">
        <v>307</v>
      </c>
      <c r="J203" s="9">
        <v>204</v>
      </c>
      <c r="K203" t="str">
        <f t="shared" si="7"/>
        <v>HIGH</v>
      </c>
      <c r="L203" t="s">
        <v>26</v>
      </c>
    </row>
    <row r="204" spans="1:12" x14ac:dyDescent="0.25">
      <c r="A204" t="s">
        <v>855</v>
      </c>
      <c r="B204" t="s">
        <v>789</v>
      </c>
      <c r="C204" t="s">
        <v>20</v>
      </c>
      <c r="D204" t="s">
        <v>21</v>
      </c>
      <c r="E204" t="s">
        <v>35</v>
      </c>
      <c r="F204" s="9">
        <v>135</v>
      </c>
      <c r="G204" s="9">
        <v>67</v>
      </c>
      <c r="H204" s="9">
        <v>68</v>
      </c>
      <c r="I204" s="9">
        <v>271</v>
      </c>
      <c r="J204" s="9">
        <v>203</v>
      </c>
      <c r="K204" t="str">
        <f t="shared" si="7"/>
        <v>HIGH</v>
      </c>
      <c r="L204" t="s">
        <v>26</v>
      </c>
    </row>
    <row r="205" spans="1:12" x14ac:dyDescent="0.25">
      <c r="A205" t="s">
        <v>1555</v>
      </c>
      <c r="B205" t="s">
        <v>789</v>
      </c>
      <c r="C205" t="s">
        <v>601</v>
      </c>
      <c r="D205" t="s">
        <v>171</v>
      </c>
      <c r="E205" t="s">
        <v>35</v>
      </c>
      <c r="F205" s="9">
        <v>119</v>
      </c>
      <c r="G205" s="9">
        <v>87</v>
      </c>
      <c r="H205" s="9">
        <v>32</v>
      </c>
      <c r="I205" s="9">
        <v>235</v>
      </c>
      <c r="J205" s="9">
        <v>203</v>
      </c>
      <c r="K205" t="str">
        <f t="shared" si="7"/>
        <v>HIGH</v>
      </c>
      <c r="L205" t="s">
        <v>26</v>
      </c>
    </row>
    <row r="206" spans="1:12" x14ac:dyDescent="0.25">
      <c r="A206" t="s">
        <v>17</v>
      </c>
      <c r="B206" t="s">
        <v>18</v>
      </c>
      <c r="C206" t="s">
        <v>20</v>
      </c>
      <c r="D206" t="s">
        <v>21</v>
      </c>
      <c r="E206" t="s">
        <v>35</v>
      </c>
      <c r="F206" s="9">
        <v>168</v>
      </c>
      <c r="G206" s="9">
        <v>94</v>
      </c>
      <c r="H206" s="9">
        <v>74</v>
      </c>
      <c r="I206" s="9">
        <v>276</v>
      </c>
      <c r="J206" s="9">
        <v>202</v>
      </c>
      <c r="K206" t="str">
        <f t="shared" si="7"/>
        <v>HIGH</v>
      </c>
      <c r="L206" t="s">
        <v>26</v>
      </c>
    </row>
    <row r="207" spans="1:12" x14ac:dyDescent="0.25">
      <c r="A207" t="s">
        <v>305</v>
      </c>
      <c r="B207" t="s">
        <v>18</v>
      </c>
      <c r="C207" t="s">
        <v>229</v>
      </c>
      <c r="D207" t="s">
        <v>122</v>
      </c>
      <c r="E207" t="s">
        <v>83</v>
      </c>
      <c r="F207" s="9">
        <v>143</v>
      </c>
      <c r="G207" s="9">
        <v>65</v>
      </c>
      <c r="H207" s="9">
        <v>78</v>
      </c>
      <c r="I207" s="9">
        <v>280</v>
      </c>
      <c r="J207" s="9">
        <v>202</v>
      </c>
      <c r="K207" t="str">
        <f t="shared" si="7"/>
        <v>HIGH</v>
      </c>
      <c r="L207" t="s">
        <v>26</v>
      </c>
    </row>
    <row r="208" spans="1:12" x14ac:dyDescent="0.25">
      <c r="A208" t="s">
        <v>600</v>
      </c>
      <c r="B208" t="s">
        <v>18</v>
      </c>
      <c r="C208" t="s">
        <v>601</v>
      </c>
      <c r="D208" t="s">
        <v>21</v>
      </c>
      <c r="E208" t="s">
        <v>83</v>
      </c>
      <c r="F208" s="9">
        <v>110</v>
      </c>
      <c r="G208" s="9">
        <v>80</v>
      </c>
      <c r="H208" s="9">
        <v>30</v>
      </c>
      <c r="I208" s="9">
        <v>232</v>
      </c>
      <c r="J208" s="9">
        <v>202</v>
      </c>
      <c r="K208" t="str">
        <f t="shared" si="7"/>
        <v>HIGH</v>
      </c>
      <c r="L208" t="s">
        <v>26</v>
      </c>
    </row>
    <row r="209" spans="1:12" x14ac:dyDescent="0.25">
      <c r="A209" t="s">
        <v>1555</v>
      </c>
      <c r="B209" t="s">
        <v>789</v>
      </c>
      <c r="C209" t="s">
        <v>601</v>
      </c>
      <c r="D209" t="s">
        <v>171</v>
      </c>
      <c r="E209" t="s">
        <v>62</v>
      </c>
      <c r="F209" s="9">
        <v>164</v>
      </c>
      <c r="G209" s="9">
        <v>14</v>
      </c>
      <c r="H209" s="9">
        <v>150</v>
      </c>
      <c r="I209" s="9">
        <v>352</v>
      </c>
      <c r="J209" s="9">
        <v>202</v>
      </c>
      <c r="K209" t="str">
        <f t="shared" si="7"/>
        <v>HIGH</v>
      </c>
      <c r="L209" t="s">
        <v>48</v>
      </c>
    </row>
    <row r="210" spans="1:12" x14ac:dyDescent="0.25">
      <c r="A210" t="s">
        <v>788</v>
      </c>
      <c r="B210" t="s">
        <v>789</v>
      </c>
      <c r="C210" t="s">
        <v>601</v>
      </c>
      <c r="D210" t="s">
        <v>790</v>
      </c>
      <c r="E210" t="s">
        <v>62</v>
      </c>
      <c r="F210" s="9">
        <v>69</v>
      </c>
      <c r="G210" s="9">
        <v>7</v>
      </c>
      <c r="H210" s="9">
        <v>62</v>
      </c>
      <c r="I210" s="9">
        <v>263</v>
      </c>
      <c r="J210" s="9">
        <v>201</v>
      </c>
      <c r="K210" t="str">
        <f t="shared" si="7"/>
        <v>HIGH</v>
      </c>
      <c r="L210" t="s">
        <v>26</v>
      </c>
    </row>
    <row r="211" spans="1:12" x14ac:dyDescent="0.25">
      <c r="A211" t="s">
        <v>1400</v>
      </c>
      <c r="B211" t="s">
        <v>789</v>
      </c>
      <c r="C211" t="s">
        <v>434</v>
      </c>
      <c r="D211" t="s">
        <v>171</v>
      </c>
      <c r="E211" t="s">
        <v>35</v>
      </c>
      <c r="F211" s="9">
        <v>197</v>
      </c>
      <c r="G211" s="9">
        <v>65</v>
      </c>
      <c r="H211" s="9">
        <v>132</v>
      </c>
      <c r="I211" s="9">
        <v>332</v>
      </c>
      <c r="J211" s="9">
        <v>200</v>
      </c>
      <c r="K211" t="str">
        <f t="shared" si="7"/>
        <v>MEDIUM</v>
      </c>
      <c r="L211" t="s">
        <v>26</v>
      </c>
    </row>
    <row r="212" spans="1:12" x14ac:dyDescent="0.25">
      <c r="A212" t="s">
        <v>170</v>
      </c>
      <c r="B212" t="s">
        <v>18</v>
      </c>
      <c r="C212" t="s">
        <v>20</v>
      </c>
      <c r="D212" t="s">
        <v>171</v>
      </c>
      <c r="E212" t="s">
        <v>62</v>
      </c>
      <c r="F212" s="9">
        <v>102</v>
      </c>
      <c r="G212" s="9">
        <v>78</v>
      </c>
      <c r="H212" s="9">
        <v>24</v>
      </c>
      <c r="I212" s="9">
        <v>222</v>
      </c>
      <c r="J212" s="9">
        <v>198</v>
      </c>
      <c r="K212" t="str">
        <f t="shared" si="7"/>
        <v>MEDIUM</v>
      </c>
      <c r="L212" t="s">
        <v>26</v>
      </c>
    </row>
    <row r="213" spans="1:12" x14ac:dyDescent="0.25">
      <c r="A213" t="s">
        <v>1253</v>
      </c>
      <c r="B213" t="s">
        <v>789</v>
      </c>
      <c r="C213" t="s">
        <v>434</v>
      </c>
      <c r="D213" t="s">
        <v>21</v>
      </c>
      <c r="E213" t="s">
        <v>62</v>
      </c>
      <c r="F213" s="9">
        <v>168</v>
      </c>
      <c r="G213" s="9">
        <v>43</v>
      </c>
      <c r="H213" s="9">
        <v>125</v>
      </c>
      <c r="I213" s="9">
        <v>322</v>
      </c>
      <c r="J213" s="9">
        <v>197</v>
      </c>
      <c r="K213" t="str">
        <f t="shared" si="7"/>
        <v>MEDIUM</v>
      </c>
      <c r="L213" t="s">
        <v>26</v>
      </c>
    </row>
    <row r="214" spans="1:12" x14ac:dyDescent="0.25">
      <c r="A214" t="s">
        <v>170</v>
      </c>
      <c r="B214" t="s">
        <v>18</v>
      </c>
      <c r="C214" t="s">
        <v>20</v>
      </c>
      <c r="D214" t="s">
        <v>171</v>
      </c>
      <c r="E214" t="s">
        <v>83</v>
      </c>
      <c r="F214" s="9">
        <v>82</v>
      </c>
      <c r="G214" s="9">
        <v>28</v>
      </c>
      <c r="H214" s="9">
        <v>54</v>
      </c>
      <c r="I214" s="9">
        <v>250</v>
      </c>
      <c r="J214" s="9">
        <v>196</v>
      </c>
      <c r="K214" t="str">
        <f t="shared" si="7"/>
        <v>MEDIUM</v>
      </c>
      <c r="L214" t="s">
        <v>26</v>
      </c>
    </row>
    <row r="215" spans="1:12" x14ac:dyDescent="0.25">
      <c r="A215" t="s">
        <v>1378</v>
      </c>
      <c r="B215" t="s">
        <v>789</v>
      </c>
      <c r="C215" t="s">
        <v>434</v>
      </c>
      <c r="D215" t="s">
        <v>804</v>
      </c>
      <c r="E215" t="s">
        <v>62</v>
      </c>
      <c r="F215" s="9">
        <v>173</v>
      </c>
      <c r="G215" s="9">
        <v>1</v>
      </c>
      <c r="H215" s="9">
        <v>172</v>
      </c>
      <c r="I215" s="9">
        <v>368</v>
      </c>
      <c r="J215" s="9">
        <v>196</v>
      </c>
      <c r="K215" t="str">
        <f t="shared" si="7"/>
        <v>MEDIUM</v>
      </c>
      <c r="L215" t="s">
        <v>26</v>
      </c>
    </row>
    <row r="216" spans="1:12" x14ac:dyDescent="0.25">
      <c r="A216" t="s">
        <v>1555</v>
      </c>
      <c r="B216" t="s">
        <v>789</v>
      </c>
      <c r="C216" t="s">
        <v>601</v>
      </c>
      <c r="D216" t="s">
        <v>171</v>
      </c>
      <c r="E216" t="s">
        <v>83</v>
      </c>
      <c r="F216" s="9">
        <v>172</v>
      </c>
      <c r="G216" s="9">
        <v>78</v>
      </c>
      <c r="H216" s="9">
        <v>94</v>
      </c>
      <c r="I216" s="9">
        <v>290</v>
      </c>
      <c r="J216" s="9">
        <v>196</v>
      </c>
      <c r="K216" t="str">
        <f t="shared" si="7"/>
        <v>MEDIUM</v>
      </c>
      <c r="L216" t="s">
        <v>48</v>
      </c>
    </row>
    <row r="217" spans="1:12" x14ac:dyDescent="0.25">
      <c r="A217" t="s">
        <v>2310</v>
      </c>
      <c r="B217" t="s">
        <v>2170</v>
      </c>
      <c r="C217" t="s">
        <v>2311</v>
      </c>
      <c r="D217" t="s">
        <v>21</v>
      </c>
      <c r="E217" t="s">
        <v>35</v>
      </c>
      <c r="F217" s="9">
        <v>232</v>
      </c>
      <c r="G217" s="9">
        <v>30</v>
      </c>
      <c r="H217" s="9">
        <v>202</v>
      </c>
      <c r="I217" s="9">
        <v>398</v>
      </c>
      <c r="J217" s="9">
        <v>196</v>
      </c>
      <c r="K217" t="str">
        <f t="shared" si="7"/>
        <v>MEDIUM</v>
      </c>
      <c r="L217" t="s">
        <v>48</v>
      </c>
    </row>
    <row r="218" spans="1:12" x14ac:dyDescent="0.25">
      <c r="A218" t="s">
        <v>17</v>
      </c>
      <c r="B218" t="s">
        <v>18</v>
      </c>
      <c r="C218" t="s">
        <v>20</v>
      </c>
      <c r="D218" t="s">
        <v>21</v>
      </c>
      <c r="E218" t="s">
        <v>83</v>
      </c>
      <c r="F218" s="9">
        <v>55</v>
      </c>
      <c r="G218" s="9">
        <v>84</v>
      </c>
      <c r="H218" s="9">
        <v>0</v>
      </c>
      <c r="I218" s="9">
        <v>194</v>
      </c>
      <c r="J218" s="9">
        <v>194</v>
      </c>
      <c r="K218" t="str">
        <f t="shared" si="7"/>
        <v>CRITICAL</v>
      </c>
      <c r="L218" t="s">
        <v>48</v>
      </c>
    </row>
    <row r="219" spans="1:12" x14ac:dyDescent="0.25">
      <c r="A219" t="s">
        <v>1162</v>
      </c>
      <c r="B219" t="s">
        <v>789</v>
      </c>
      <c r="C219" t="s">
        <v>229</v>
      </c>
      <c r="D219" t="s">
        <v>804</v>
      </c>
      <c r="E219" t="s">
        <v>29</v>
      </c>
      <c r="F219" s="9">
        <v>175</v>
      </c>
      <c r="G219" s="9">
        <v>9</v>
      </c>
      <c r="H219" s="9">
        <v>166</v>
      </c>
      <c r="I219" s="9">
        <v>360</v>
      </c>
      <c r="J219" s="9">
        <v>194</v>
      </c>
      <c r="K219" t="str">
        <f t="shared" si="7"/>
        <v>MEDIUM</v>
      </c>
      <c r="L219" t="s">
        <v>26</v>
      </c>
    </row>
    <row r="220" spans="1:12" x14ac:dyDescent="0.25">
      <c r="A220" t="s">
        <v>121</v>
      </c>
      <c r="B220" t="s">
        <v>18</v>
      </c>
      <c r="C220" t="s">
        <v>20</v>
      </c>
      <c r="D220" t="s">
        <v>122</v>
      </c>
      <c r="E220" t="s">
        <v>62</v>
      </c>
      <c r="F220" s="9">
        <v>113</v>
      </c>
      <c r="G220" s="9">
        <v>40</v>
      </c>
      <c r="H220" s="9">
        <v>73</v>
      </c>
      <c r="I220" s="9">
        <v>266</v>
      </c>
      <c r="J220" s="9">
        <v>193</v>
      </c>
      <c r="K220" t="str">
        <f t="shared" si="7"/>
        <v>MEDIUM</v>
      </c>
      <c r="L220" t="s">
        <v>26</v>
      </c>
    </row>
    <row r="221" spans="1:12" x14ac:dyDescent="0.25">
      <c r="A221" t="s">
        <v>600</v>
      </c>
      <c r="B221" t="s">
        <v>18</v>
      </c>
      <c r="C221" t="s">
        <v>601</v>
      </c>
      <c r="D221" t="s">
        <v>21</v>
      </c>
      <c r="E221" t="s">
        <v>83</v>
      </c>
      <c r="F221" s="9">
        <v>106</v>
      </c>
      <c r="G221" s="9">
        <v>17</v>
      </c>
      <c r="H221" s="9">
        <v>89</v>
      </c>
      <c r="I221" s="9">
        <v>282</v>
      </c>
      <c r="J221" s="9">
        <v>193</v>
      </c>
      <c r="K221" t="str">
        <f t="shared" si="7"/>
        <v>MEDIUM</v>
      </c>
      <c r="L221" t="s">
        <v>26</v>
      </c>
    </row>
    <row r="222" spans="1:12" x14ac:dyDescent="0.25">
      <c r="A222" t="s">
        <v>788</v>
      </c>
      <c r="B222" t="s">
        <v>789</v>
      </c>
      <c r="C222" t="s">
        <v>601</v>
      </c>
      <c r="D222" t="s">
        <v>790</v>
      </c>
      <c r="E222" t="s">
        <v>35</v>
      </c>
      <c r="F222" s="9">
        <v>192</v>
      </c>
      <c r="G222" s="9">
        <v>0</v>
      </c>
      <c r="H222" s="9">
        <v>192</v>
      </c>
      <c r="I222" s="9">
        <v>385</v>
      </c>
      <c r="J222" s="9">
        <v>193</v>
      </c>
      <c r="K222" t="str">
        <f t="shared" si="7"/>
        <v>MEDIUM</v>
      </c>
      <c r="L222" t="s">
        <v>26</v>
      </c>
    </row>
    <row r="223" spans="1:12" x14ac:dyDescent="0.25">
      <c r="A223" t="s">
        <v>842</v>
      </c>
      <c r="B223" t="s">
        <v>789</v>
      </c>
      <c r="C223" t="s">
        <v>601</v>
      </c>
      <c r="D223" t="s">
        <v>843</v>
      </c>
      <c r="E223" t="s">
        <v>35</v>
      </c>
      <c r="F223" s="9">
        <v>157</v>
      </c>
      <c r="G223" s="9">
        <v>9</v>
      </c>
      <c r="H223" s="9">
        <v>148</v>
      </c>
      <c r="I223" s="9">
        <v>341</v>
      </c>
      <c r="J223" s="9">
        <v>193</v>
      </c>
      <c r="K223" t="str">
        <f t="shared" si="7"/>
        <v>MEDIUM</v>
      </c>
      <c r="L223" t="s">
        <v>26</v>
      </c>
    </row>
    <row r="224" spans="1:12" x14ac:dyDescent="0.25">
      <c r="A224" t="s">
        <v>1103</v>
      </c>
      <c r="B224" t="s">
        <v>789</v>
      </c>
      <c r="C224" t="s">
        <v>229</v>
      </c>
      <c r="D224" t="s">
        <v>122</v>
      </c>
      <c r="E224" t="s">
        <v>83</v>
      </c>
      <c r="F224" s="9">
        <v>143</v>
      </c>
      <c r="G224" s="9">
        <v>27</v>
      </c>
      <c r="H224" s="9">
        <v>116</v>
      </c>
      <c r="I224" s="9">
        <v>309</v>
      </c>
      <c r="J224" s="9">
        <v>193</v>
      </c>
      <c r="K224" t="str">
        <f t="shared" si="7"/>
        <v>MEDIUM</v>
      </c>
      <c r="L224" t="s">
        <v>48</v>
      </c>
    </row>
    <row r="225" spans="1:12" x14ac:dyDescent="0.25">
      <c r="A225" t="s">
        <v>675</v>
      </c>
      <c r="B225" t="s">
        <v>18</v>
      </c>
      <c r="C225" t="s">
        <v>601</v>
      </c>
      <c r="D225" t="s">
        <v>122</v>
      </c>
      <c r="E225" t="s">
        <v>62</v>
      </c>
      <c r="F225" s="9">
        <v>155</v>
      </c>
      <c r="G225" s="9">
        <v>98</v>
      </c>
      <c r="H225" s="9">
        <v>57</v>
      </c>
      <c r="I225" s="9">
        <v>249</v>
      </c>
      <c r="J225" s="9">
        <v>192</v>
      </c>
      <c r="K225" t="str">
        <f t="shared" ref="K225:K288" si="8">IF(H225=0,"CRITICAL",IF(J225&gt;200,"HIGH","MEDIUM"))</f>
        <v>MEDIUM</v>
      </c>
      <c r="L225" t="s">
        <v>26</v>
      </c>
    </row>
    <row r="226" spans="1:12" x14ac:dyDescent="0.25">
      <c r="A226" t="s">
        <v>855</v>
      </c>
      <c r="B226" t="s">
        <v>789</v>
      </c>
      <c r="C226" t="s">
        <v>20</v>
      </c>
      <c r="D226" t="s">
        <v>21</v>
      </c>
      <c r="E226" t="s">
        <v>35</v>
      </c>
      <c r="F226" s="9">
        <v>96</v>
      </c>
      <c r="G226" s="9">
        <v>19</v>
      </c>
      <c r="H226" s="9">
        <v>77</v>
      </c>
      <c r="I226" s="9">
        <v>268</v>
      </c>
      <c r="J226" s="9">
        <v>191</v>
      </c>
      <c r="K226" t="str">
        <f t="shared" si="8"/>
        <v>MEDIUM</v>
      </c>
      <c r="L226" t="s">
        <v>48</v>
      </c>
    </row>
    <row r="227" spans="1:12" x14ac:dyDescent="0.25">
      <c r="A227" t="s">
        <v>1058</v>
      </c>
      <c r="B227" t="s">
        <v>789</v>
      </c>
      <c r="C227" t="s">
        <v>229</v>
      </c>
      <c r="D227" t="s">
        <v>21</v>
      </c>
      <c r="E227" t="s">
        <v>62</v>
      </c>
      <c r="F227" s="9">
        <v>163</v>
      </c>
      <c r="G227" s="9">
        <v>16</v>
      </c>
      <c r="H227" s="9">
        <v>147</v>
      </c>
      <c r="I227" s="9">
        <v>338</v>
      </c>
      <c r="J227" s="9">
        <v>191</v>
      </c>
      <c r="K227" t="str">
        <f t="shared" si="8"/>
        <v>MEDIUM</v>
      </c>
      <c r="L227" t="s">
        <v>26</v>
      </c>
    </row>
    <row r="228" spans="1:12" x14ac:dyDescent="0.25">
      <c r="A228" t="s">
        <v>600</v>
      </c>
      <c r="B228" t="s">
        <v>18</v>
      </c>
      <c r="C228" t="s">
        <v>601</v>
      </c>
      <c r="D228" t="s">
        <v>21</v>
      </c>
      <c r="E228" t="s">
        <v>62</v>
      </c>
      <c r="F228" s="9">
        <v>149</v>
      </c>
      <c r="G228" s="9">
        <v>47</v>
      </c>
      <c r="H228" s="9">
        <v>102</v>
      </c>
      <c r="I228" s="9">
        <v>291</v>
      </c>
      <c r="J228" s="9">
        <v>189</v>
      </c>
      <c r="K228" t="str">
        <f t="shared" si="8"/>
        <v>MEDIUM</v>
      </c>
      <c r="L228" t="s">
        <v>48</v>
      </c>
    </row>
    <row r="229" spans="1:12" x14ac:dyDescent="0.25">
      <c r="A229" t="s">
        <v>228</v>
      </c>
      <c r="B229" t="s">
        <v>18</v>
      </c>
      <c r="C229" t="s">
        <v>229</v>
      </c>
      <c r="D229" t="s">
        <v>21</v>
      </c>
      <c r="E229" t="s">
        <v>83</v>
      </c>
      <c r="F229" s="9">
        <v>104</v>
      </c>
      <c r="G229" s="9">
        <v>50</v>
      </c>
      <c r="H229" s="9">
        <v>54</v>
      </c>
      <c r="I229" s="9">
        <v>242</v>
      </c>
      <c r="J229" s="9">
        <v>188</v>
      </c>
      <c r="K229" t="str">
        <f t="shared" si="8"/>
        <v>MEDIUM</v>
      </c>
      <c r="L229" t="s">
        <v>26</v>
      </c>
    </row>
    <row r="230" spans="1:12" x14ac:dyDescent="0.25">
      <c r="A230" t="s">
        <v>305</v>
      </c>
      <c r="B230" t="s">
        <v>18</v>
      </c>
      <c r="C230" t="s">
        <v>229</v>
      </c>
      <c r="D230" t="s">
        <v>122</v>
      </c>
      <c r="E230" t="s">
        <v>62</v>
      </c>
      <c r="F230" s="9">
        <v>125</v>
      </c>
      <c r="G230" s="9">
        <v>66</v>
      </c>
      <c r="H230" s="9">
        <v>59</v>
      </c>
      <c r="I230" s="9">
        <v>247</v>
      </c>
      <c r="J230" s="9">
        <v>188</v>
      </c>
      <c r="K230" t="str">
        <f t="shared" si="8"/>
        <v>MEDIUM</v>
      </c>
      <c r="L230" t="s">
        <v>26</v>
      </c>
    </row>
    <row r="231" spans="1:12" x14ac:dyDescent="0.25">
      <c r="A231" t="s">
        <v>1368</v>
      </c>
      <c r="B231" t="s">
        <v>789</v>
      </c>
      <c r="C231" t="s">
        <v>434</v>
      </c>
      <c r="D231" t="s">
        <v>790</v>
      </c>
      <c r="E231" t="s">
        <v>62</v>
      </c>
      <c r="F231" s="9">
        <v>170</v>
      </c>
      <c r="G231" s="9">
        <v>1</v>
      </c>
      <c r="H231" s="9">
        <v>169</v>
      </c>
      <c r="I231" s="9">
        <v>356</v>
      </c>
      <c r="J231" s="9">
        <v>187</v>
      </c>
      <c r="K231" t="str">
        <f t="shared" si="8"/>
        <v>MEDIUM</v>
      </c>
      <c r="L231" t="s">
        <v>26</v>
      </c>
    </row>
    <row r="232" spans="1:12" x14ac:dyDescent="0.25">
      <c r="A232" t="s">
        <v>1555</v>
      </c>
      <c r="B232" t="s">
        <v>789</v>
      </c>
      <c r="C232" t="s">
        <v>601</v>
      </c>
      <c r="D232" t="s">
        <v>171</v>
      </c>
      <c r="E232" t="s">
        <v>35</v>
      </c>
      <c r="F232" s="9">
        <v>112</v>
      </c>
      <c r="G232" s="9">
        <v>47</v>
      </c>
      <c r="H232" s="9">
        <v>65</v>
      </c>
      <c r="I232" s="9">
        <v>252</v>
      </c>
      <c r="J232" s="9">
        <v>187</v>
      </c>
      <c r="K232" t="str">
        <f t="shared" si="8"/>
        <v>MEDIUM</v>
      </c>
      <c r="L232" t="s">
        <v>48</v>
      </c>
    </row>
    <row r="233" spans="1:12" x14ac:dyDescent="0.25">
      <c r="A233" t="s">
        <v>491</v>
      </c>
      <c r="B233" t="s">
        <v>18</v>
      </c>
      <c r="C233" t="s">
        <v>434</v>
      </c>
      <c r="D233" t="s">
        <v>122</v>
      </c>
      <c r="E233" t="s">
        <v>62</v>
      </c>
      <c r="F233" s="9">
        <v>85</v>
      </c>
      <c r="G233" s="9">
        <v>59</v>
      </c>
      <c r="H233" s="9">
        <v>26</v>
      </c>
      <c r="I233" s="9">
        <v>212</v>
      </c>
      <c r="J233" s="9">
        <v>186</v>
      </c>
      <c r="K233" t="str">
        <f t="shared" si="8"/>
        <v>MEDIUM</v>
      </c>
      <c r="L233" t="s">
        <v>26</v>
      </c>
    </row>
    <row r="234" spans="1:12" x14ac:dyDescent="0.25">
      <c r="A234" t="s">
        <v>921</v>
      </c>
      <c r="B234" t="s">
        <v>789</v>
      </c>
      <c r="C234" t="s">
        <v>20</v>
      </c>
      <c r="D234" t="s">
        <v>122</v>
      </c>
      <c r="E234" t="s">
        <v>35</v>
      </c>
      <c r="F234" s="9">
        <v>147</v>
      </c>
      <c r="G234" s="9">
        <v>46</v>
      </c>
      <c r="H234" s="9">
        <v>101</v>
      </c>
      <c r="I234" s="9">
        <v>287</v>
      </c>
      <c r="J234" s="9">
        <v>186</v>
      </c>
      <c r="K234" t="str">
        <f t="shared" si="8"/>
        <v>MEDIUM</v>
      </c>
      <c r="L234" t="s">
        <v>48</v>
      </c>
    </row>
    <row r="235" spans="1:12" x14ac:dyDescent="0.25">
      <c r="A235" t="s">
        <v>973</v>
      </c>
      <c r="B235" t="s">
        <v>789</v>
      </c>
      <c r="C235" t="s">
        <v>20</v>
      </c>
      <c r="D235" t="s">
        <v>804</v>
      </c>
      <c r="E235" t="s">
        <v>29</v>
      </c>
      <c r="F235" s="9">
        <v>156</v>
      </c>
      <c r="G235" s="9">
        <v>6</v>
      </c>
      <c r="H235" s="9">
        <v>150</v>
      </c>
      <c r="I235" s="9">
        <v>335</v>
      </c>
      <c r="J235" s="9">
        <v>185</v>
      </c>
      <c r="K235" t="str">
        <f t="shared" si="8"/>
        <v>MEDIUM</v>
      </c>
      <c r="L235" t="s">
        <v>26</v>
      </c>
    </row>
    <row r="236" spans="1:12" x14ac:dyDescent="0.25">
      <c r="A236" t="s">
        <v>993</v>
      </c>
      <c r="B236" t="s">
        <v>789</v>
      </c>
      <c r="C236" t="s">
        <v>20</v>
      </c>
      <c r="D236" t="s">
        <v>171</v>
      </c>
      <c r="E236" t="s">
        <v>29</v>
      </c>
      <c r="F236" s="9">
        <v>109</v>
      </c>
      <c r="G236" s="9">
        <v>33</v>
      </c>
      <c r="H236" s="9">
        <v>76</v>
      </c>
      <c r="I236" s="9">
        <v>260</v>
      </c>
      <c r="J236" s="9">
        <v>184</v>
      </c>
      <c r="K236" t="str">
        <f t="shared" si="8"/>
        <v>MEDIUM</v>
      </c>
      <c r="L236" t="s">
        <v>26</v>
      </c>
    </row>
    <row r="237" spans="1:12" x14ac:dyDescent="0.25">
      <c r="A237" t="s">
        <v>1150</v>
      </c>
      <c r="B237" t="s">
        <v>789</v>
      </c>
      <c r="C237" t="s">
        <v>229</v>
      </c>
      <c r="D237" t="s">
        <v>790</v>
      </c>
      <c r="E237" t="s">
        <v>29</v>
      </c>
      <c r="F237" s="9">
        <v>98</v>
      </c>
      <c r="G237" s="9">
        <v>9</v>
      </c>
      <c r="H237" s="9">
        <v>89</v>
      </c>
      <c r="I237" s="9">
        <v>273</v>
      </c>
      <c r="J237" s="9">
        <v>184</v>
      </c>
      <c r="K237" t="str">
        <f t="shared" si="8"/>
        <v>MEDIUM</v>
      </c>
      <c r="L237" t="s">
        <v>26</v>
      </c>
    </row>
    <row r="238" spans="1:12" x14ac:dyDescent="0.25">
      <c r="A238" t="s">
        <v>735</v>
      </c>
      <c r="B238" t="s">
        <v>18</v>
      </c>
      <c r="C238" t="s">
        <v>601</v>
      </c>
      <c r="D238" t="s">
        <v>171</v>
      </c>
      <c r="E238" t="s">
        <v>83</v>
      </c>
      <c r="F238" s="9">
        <v>150</v>
      </c>
      <c r="G238" s="9">
        <v>66</v>
      </c>
      <c r="H238" s="9">
        <v>84</v>
      </c>
      <c r="I238" s="9">
        <v>267</v>
      </c>
      <c r="J238" s="9">
        <v>183</v>
      </c>
      <c r="K238" t="str">
        <f t="shared" si="8"/>
        <v>MEDIUM</v>
      </c>
      <c r="L238" t="s">
        <v>26</v>
      </c>
    </row>
    <row r="239" spans="1:12" x14ac:dyDescent="0.25">
      <c r="A239" t="s">
        <v>816</v>
      </c>
      <c r="B239" t="s">
        <v>789</v>
      </c>
      <c r="C239" t="s">
        <v>601</v>
      </c>
      <c r="D239" t="s">
        <v>817</v>
      </c>
      <c r="E239" t="s">
        <v>62</v>
      </c>
      <c r="F239" s="9">
        <v>102</v>
      </c>
      <c r="G239" s="9">
        <v>2</v>
      </c>
      <c r="H239" s="9">
        <v>100</v>
      </c>
      <c r="I239" s="9">
        <v>283</v>
      </c>
      <c r="J239" s="9">
        <v>183</v>
      </c>
      <c r="K239" t="str">
        <f t="shared" si="8"/>
        <v>MEDIUM</v>
      </c>
      <c r="L239" t="s">
        <v>26</v>
      </c>
    </row>
    <row r="240" spans="1:12" x14ac:dyDescent="0.25">
      <c r="A240" t="s">
        <v>981</v>
      </c>
      <c r="B240" t="s">
        <v>789</v>
      </c>
      <c r="C240" t="s">
        <v>20</v>
      </c>
      <c r="D240" t="s">
        <v>817</v>
      </c>
      <c r="E240" t="s">
        <v>62</v>
      </c>
      <c r="F240" s="9">
        <v>121</v>
      </c>
      <c r="G240" s="9">
        <v>3</v>
      </c>
      <c r="H240" s="9">
        <v>118</v>
      </c>
      <c r="I240" s="9">
        <v>301</v>
      </c>
      <c r="J240" s="9">
        <v>183</v>
      </c>
      <c r="K240" t="str">
        <f t="shared" si="8"/>
        <v>MEDIUM</v>
      </c>
      <c r="L240" t="s">
        <v>26</v>
      </c>
    </row>
    <row r="241" spans="1:12" x14ac:dyDescent="0.25">
      <c r="A241" t="s">
        <v>1368</v>
      </c>
      <c r="B241" t="s">
        <v>789</v>
      </c>
      <c r="C241" t="s">
        <v>434</v>
      </c>
      <c r="D241" t="s">
        <v>790</v>
      </c>
      <c r="E241" t="s">
        <v>29</v>
      </c>
      <c r="F241" s="9">
        <v>87</v>
      </c>
      <c r="G241" s="9">
        <v>5</v>
      </c>
      <c r="H241" s="9">
        <v>82</v>
      </c>
      <c r="I241" s="9">
        <v>265</v>
      </c>
      <c r="J241" s="9">
        <v>183</v>
      </c>
      <c r="K241" t="str">
        <f t="shared" si="8"/>
        <v>MEDIUM</v>
      </c>
      <c r="L241" t="s">
        <v>26</v>
      </c>
    </row>
    <row r="242" spans="1:12" x14ac:dyDescent="0.25">
      <c r="A242" t="s">
        <v>1500</v>
      </c>
      <c r="B242" t="s">
        <v>789</v>
      </c>
      <c r="C242" t="s">
        <v>601</v>
      </c>
      <c r="D242" t="s">
        <v>122</v>
      </c>
      <c r="E242" t="s">
        <v>35</v>
      </c>
      <c r="F242" s="9">
        <v>118</v>
      </c>
      <c r="G242" s="9">
        <v>58</v>
      </c>
      <c r="H242" s="9">
        <v>60</v>
      </c>
      <c r="I242" s="9">
        <v>243</v>
      </c>
      <c r="J242" s="9">
        <v>183</v>
      </c>
      <c r="K242" t="str">
        <f t="shared" si="8"/>
        <v>MEDIUM</v>
      </c>
      <c r="L242" t="s">
        <v>26</v>
      </c>
    </row>
    <row r="243" spans="1:12" x14ac:dyDescent="0.25">
      <c r="A243" t="s">
        <v>554</v>
      </c>
      <c r="B243" t="s">
        <v>18</v>
      </c>
      <c r="C243" t="s">
        <v>434</v>
      </c>
      <c r="D243" t="s">
        <v>171</v>
      </c>
      <c r="E243" t="s">
        <v>35</v>
      </c>
      <c r="F243" s="9">
        <v>107</v>
      </c>
      <c r="G243" s="9">
        <v>22</v>
      </c>
      <c r="H243" s="9">
        <v>85</v>
      </c>
      <c r="I243" s="9">
        <v>267</v>
      </c>
      <c r="J243" s="9">
        <v>182</v>
      </c>
      <c r="K243" t="str">
        <f t="shared" si="8"/>
        <v>MEDIUM</v>
      </c>
      <c r="L243" t="s">
        <v>26</v>
      </c>
    </row>
    <row r="244" spans="1:12" x14ac:dyDescent="0.25">
      <c r="A244" t="s">
        <v>1400</v>
      </c>
      <c r="B244" t="s">
        <v>789</v>
      </c>
      <c r="C244" t="s">
        <v>434</v>
      </c>
      <c r="D244" t="s">
        <v>171</v>
      </c>
      <c r="E244" t="s">
        <v>35</v>
      </c>
      <c r="F244" s="9">
        <v>142</v>
      </c>
      <c r="G244" s="9">
        <v>69</v>
      </c>
      <c r="H244" s="9">
        <v>73</v>
      </c>
      <c r="I244" s="9">
        <v>255</v>
      </c>
      <c r="J244" s="9">
        <v>182</v>
      </c>
      <c r="K244" t="str">
        <f t="shared" si="8"/>
        <v>MEDIUM</v>
      </c>
      <c r="L244" t="s">
        <v>26</v>
      </c>
    </row>
    <row r="245" spans="1:12" x14ac:dyDescent="0.25">
      <c r="A245" t="s">
        <v>491</v>
      </c>
      <c r="B245" t="s">
        <v>18</v>
      </c>
      <c r="C245" t="s">
        <v>434</v>
      </c>
      <c r="D245" t="s">
        <v>122</v>
      </c>
      <c r="E245" t="s">
        <v>35</v>
      </c>
      <c r="F245" s="9">
        <v>103</v>
      </c>
      <c r="G245" s="9">
        <v>55</v>
      </c>
      <c r="H245" s="9">
        <v>48</v>
      </c>
      <c r="I245" s="9">
        <v>229</v>
      </c>
      <c r="J245" s="9">
        <v>181</v>
      </c>
      <c r="K245" t="str">
        <f t="shared" si="8"/>
        <v>MEDIUM</v>
      </c>
      <c r="L245" t="s">
        <v>26</v>
      </c>
    </row>
    <row r="246" spans="1:12" x14ac:dyDescent="0.25">
      <c r="A246" t="s">
        <v>993</v>
      </c>
      <c r="B246" t="s">
        <v>789</v>
      </c>
      <c r="C246" t="s">
        <v>20</v>
      </c>
      <c r="D246" t="s">
        <v>171</v>
      </c>
      <c r="E246" t="s">
        <v>62</v>
      </c>
      <c r="F246" s="9">
        <v>110</v>
      </c>
      <c r="G246" s="9">
        <v>29</v>
      </c>
      <c r="H246" s="9">
        <v>81</v>
      </c>
      <c r="I246" s="9">
        <v>262</v>
      </c>
      <c r="J246" s="9">
        <v>181</v>
      </c>
      <c r="K246" t="str">
        <f t="shared" si="8"/>
        <v>MEDIUM</v>
      </c>
      <c r="L246" t="s">
        <v>26</v>
      </c>
    </row>
    <row r="247" spans="1:12" x14ac:dyDescent="0.25">
      <c r="A247" t="s">
        <v>803</v>
      </c>
      <c r="B247" t="s">
        <v>789</v>
      </c>
      <c r="C247" t="s">
        <v>601</v>
      </c>
      <c r="D247" t="s">
        <v>804</v>
      </c>
      <c r="E247" t="s">
        <v>29</v>
      </c>
      <c r="F247" s="9">
        <v>67</v>
      </c>
      <c r="G247" s="9">
        <v>8</v>
      </c>
      <c r="H247" s="9">
        <v>59</v>
      </c>
      <c r="I247" s="9">
        <v>237</v>
      </c>
      <c r="J247" s="9">
        <v>178</v>
      </c>
      <c r="K247" t="str">
        <f t="shared" si="8"/>
        <v>MEDIUM</v>
      </c>
      <c r="L247" t="s">
        <v>26</v>
      </c>
    </row>
    <row r="248" spans="1:12" x14ac:dyDescent="0.25">
      <c r="A248" t="s">
        <v>433</v>
      </c>
      <c r="B248" t="s">
        <v>18</v>
      </c>
      <c r="C248" t="s">
        <v>434</v>
      </c>
      <c r="D248" t="s">
        <v>21</v>
      </c>
      <c r="E248" t="s">
        <v>83</v>
      </c>
      <c r="F248" s="9">
        <v>154</v>
      </c>
      <c r="G248" s="9">
        <v>70</v>
      </c>
      <c r="H248" s="9">
        <v>84</v>
      </c>
      <c r="I248" s="9">
        <v>260</v>
      </c>
      <c r="J248" s="9">
        <v>176</v>
      </c>
      <c r="K248" t="str">
        <f t="shared" si="8"/>
        <v>MEDIUM</v>
      </c>
      <c r="L248" t="s">
        <v>26</v>
      </c>
    </row>
    <row r="249" spans="1:12" x14ac:dyDescent="0.25">
      <c r="A249" t="s">
        <v>1884</v>
      </c>
      <c r="B249" t="s">
        <v>1612</v>
      </c>
      <c r="C249" t="s">
        <v>229</v>
      </c>
      <c r="D249" t="s">
        <v>171</v>
      </c>
      <c r="E249" t="s">
        <v>83</v>
      </c>
      <c r="F249" s="9">
        <v>245</v>
      </c>
      <c r="G249" s="9">
        <v>25</v>
      </c>
      <c r="H249" s="9">
        <v>220</v>
      </c>
      <c r="I249" s="9">
        <v>396</v>
      </c>
      <c r="J249" s="9">
        <v>176</v>
      </c>
      <c r="K249" t="str">
        <f t="shared" si="8"/>
        <v>MEDIUM</v>
      </c>
      <c r="L249" t="s">
        <v>26</v>
      </c>
    </row>
    <row r="250" spans="1:12" x14ac:dyDescent="0.25">
      <c r="A250" t="s">
        <v>600</v>
      </c>
      <c r="B250" t="s">
        <v>18</v>
      </c>
      <c r="C250" t="s">
        <v>601</v>
      </c>
      <c r="D250" t="s">
        <v>21</v>
      </c>
      <c r="E250" t="s">
        <v>35</v>
      </c>
      <c r="F250" s="9">
        <v>109</v>
      </c>
      <c r="G250" s="9">
        <v>58</v>
      </c>
      <c r="H250" s="9">
        <v>51</v>
      </c>
      <c r="I250" s="9">
        <v>224</v>
      </c>
      <c r="J250" s="9">
        <v>173</v>
      </c>
      <c r="K250" t="str">
        <f t="shared" si="8"/>
        <v>MEDIUM</v>
      </c>
      <c r="L250" t="s">
        <v>48</v>
      </c>
    </row>
    <row r="251" spans="1:12" x14ac:dyDescent="0.25">
      <c r="A251" t="s">
        <v>1500</v>
      </c>
      <c r="B251" t="s">
        <v>789</v>
      </c>
      <c r="C251" t="s">
        <v>601</v>
      </c>
      <c r="D251" t="s">
        <v>122</v>
      </c>
      <c r="E251" t="s">
        <v>83</v>
      </c>
      <c r="F251" s="9">
        <v>63</v>
      </c>
      <c r="G251" s="9">
        <v>51</v>
      </c>
      <c r="H251" s="9">
        <v>12</v>
      </c>
      <c r="I251" s="9">
        <v>185</v>
      </c>
      <c r="J251" s="9">
        <v>173</v>
      </c>
      <c r="K251" t="str">
        <f t="shared" si="8"/>
        <v>MEDIUM</v>
      </c>
      <c r="L251" t="s">
        <v>48</v>
      </c>
    </row>
    <row r="252" spans="1:12" x14ac:dyDescent="0.25">
      <c r="A252" t="s">
        <v>170</v>
      </c>
      <c r="B252" t="s">
        <v>18</v>
      </c>
      <c r="C252" t="s">
        <v>20</v>
      </c>
      <c r="D252" t="s">
        <v>171</v>
      </c>
      <c r="E252" t="s">
        <v>62</v>
      </c>
      <c r="F252" s="9">
        <v>119</v>
      </c>
      <c r="G252" s="9">
        <v>69</v>
      </c>
      <c r="H252" s="9">
        <v>50</v>
      </c>
      <c r="I252" s="9">
        <v>222</v>
      </c>
      <c r="J252" s="9">
        <v>172</v>
      </c>
      <c r="K252" t="str">
        <f t="shared" si="8"/>
        <v>MEDIUM</v>
      </c>
      <c r="L252" t="s">
        <v>26</v>
      </c>
    </row>
    <row r="253" spans="1:12" x14ac:dyDescent="0.25">
      <c r="A253" t="s">
        <v>600</v>
      </c>
      <c r="B253" t="s">
        <v>18</v>
      </c>
      <c r="C253" t="s">
        <v>601</v>
      </c>
      <c r="D253" t="s">
        <v>21</v>
      </c>
      <c r="E253" t="s">
        <v>62</v>
      </c>
      <c r="F253" s="9">
        <v>142</v>
      </c>
      <c r="G253" s="9">
        <v>19</v>
      </c>
      <c r="H253" s="9">
        <v>123</v>
      </c>
      <c r="I253" s="9">
        <v>293</v>
      </c>
      <c r="J253" s="9">
        <v>170</v>
      </c>
      <c r="K253" t="str">
        <f t="shared" si="8"/>
        <v>MEDIUM</v>
      </c>
      <c r="L253" t="s">
        <v>26</v>
      </c>
    </row>
    <row r="254" spans="1:12" x14ac:dyDescent="0.25">
      <c r="A254" t="s">
        <v>1253</v>
      </c>
      <c r="B254" t="s">
        <v>789</v>
      </c>
      <c r="C254" t="s">
        <v>434</v>
      </c>
      <c r="D254" t="s">
        <v>21</v>
      </c>
      <c r="E254" t="s">
        <v>83</v>
      </c>
      <c r="F254" s="9">
        <v>117</v>
      </c>
      <c r="G254" s="9">
        <v>11</v>
      </c>
      <c r="H254" s="9">
        <v>106</v>
      </c>
      <c r="I254" s="9">
        <v>276</v>
      </c>
      <c r="J254" s="9">
        <v>170</v>
      </c>
      <c r="K254" t="str">
        <f t="shared" si="8"/>
        <v>MEDIUM</v>
      </c>
      <c r="L254" t="s">
        <v>48</v>
      </c>
    </row>
    <row r="255" spans="1:12" x14ac:dyDescent="0.25">
      <c r="A255" t="s">
        <v>370</v>
      </c>
      <c r="B255" t="s">
        <v>18</v>
      </c>
      <c r="C255" t="s">
        <v>229</v>
      </c>
      <c r="D255" t="s">
        <v>171</v>
      </c>
      <c r="E255" t="s">
        <v>83</v>
      </c>
      <c r="F255" s="9">
        <v>121</v>
      </c>
      <c r="G255" s="9">
        <v>32</v>
      </c>
      <c r="H255" s="9">
        <v>89</v>
      </c>
      <c r="I255" s="9">
        <v>258</v>
      </c>
      <c r="J255" s="9">
        <v>169</v>
      </c>
      <c r="K255" t="str">
        <f t="shared" si="8"/>
        <v>MEDIUM</v>
      </c>
      <c r="L255" t="s">
        <v>48</v>
      </c>
    </row>
    <row r="256" spans="1:12" x14ac:dyDescent="0.25">
      <c r="A256" t="s">
        <v>1465</v>
      </c>
      <c r="B256" t="s">
        <v>789</v>
      </c>
      <c r="C256" t="s">
        <v>601</v>
      </c>
      <c r="D256" t="s">
        <v>21</v>
      </c>
      <c r="E256" t="s">
        <v>35</v>
      </c>
      <c r="F256" s="9">
        <v>171</v>
      </c>
      <c r="G256" s="9">
        <v>55</v>
      </c>
      <c r="H256" s="9">
        <v>116</v>
      </c>
      <c r="I256" s="9">
        <v>285</v>
      </c>
      <c r="J256" s="9">
        <v>169</v>
      </c>
      <c r="K256" t="str">
        <f t="shared" si="8"/>
        <v>MEDIUM</v>
      </c>
      <c r="L256" t="s">
        <v>26</v>
      </c>
    </row>
    <row r="257" spans="1:12" x14ac:dyDescent="0.25">
      <c r="A257" t="s">
        <v>1500</v>
      </c>
      <c r="B257" t="s">
        <v>789</v>
      </c>
      <c r="C257" t="s">
        <v>601</v>
      </c>
      <c r="D257" t="s">
        <v>122</v>
      </c>
      <c r="E257" t="s">
        <v>83</v>
      </c>
      <c r="F257" s="9">
        <v>109</v>
      </c>
      <c r="G257" s="9">
        <v>68</v>
      </c>
      <c r="H257" s="9">
        <v>41</v>
      </c>
      <c r="I257" s="9">
        <v>210</v>
      </c>
      <c r="J257" s="9">
        <v>169</v>
      </c>
      <c r="K257" t="str">
        <f t="shared" si="8"/>
        <v>MEDIUM</v>
      </c>
      <c r="L257" t="s">
        <v>26</v>
      </c>
    </row>
    <row r="258" spans="1:12" x14ac:dyDescent="0.25">
      <c r="A258" t="s">
        <v>305</v>
      </c>
      <c r="B258" t="s">
        <v>18</v>
      </c>
      <c r="C258" t="s">
        <v>229</v>
      </c>
      <c r="D258" t="s">
        <v>122</v>
      </c>
      <c r="E258" t="s">
        <v>62</v>
      </c>
      <c r="F258" s="9">
        <v>168</v>
      </c>
      <c r="G258" s="9">
        <v>95</v>
      </c>
      <c r="H258" s="9">
        <v>73</v>
      </c>
      <c r="I258" s="9">
        <v>241</v>
      </c>
      <c r="J258" s="9">
        <v>168</v>
      </c>
      <c r="K258" t="str">
        <f t="shared" si="8"/>
        <v>MEDIUM</v>
      </c>
      <c r="L258" t="s">
        <v>26</v>
      </c>
    </row>
    <row r="259" spans="1:12" x14ac:dyDescent="0.25">
      <c r="A259" t="s">
        <v>554</v>
      </c>
      <c r="B259" t="s">
        <v>18</v>
      </c>
      <c r="C259" t="s">
        <v>434</v>
      </c>
      <c r="D259" t="s">
        <v>171</v>
      </c>
      <c r="E259" t="s">
        <v>83</v>
      </c>
      <c r="F259" s="9">
        <v>85</v>
      </c>
      <c r="G259" s="9">
        <v>22</v>
      </c>
      <c r="H259" s="9">
        <v>63</v>
      </c>
      <c r="I259" s="9">
        <v>231</v>
      </c>
      <c r="J259" s="9">
        <v>168</v>
      </c>
      <c r="K259" t="str">
        <f t="shared" si="8"/>
        <v>MEDIUM</v>
      </c>
      <c r="L259" t="s">
        <v>48</v>
      </c>
    </row>
    <row r="260" spans="1:12" x14ac:dyDescent="0.25">
      <c r="A260" t="s">
        <v>675</v>
      </c>
      <c r="B260" t="s">
        <v>18</v>
      </c>
      <c r="C260" t="s">
        <v>601</v>
      </c>
      <c r="D260" t="s">
        <v>122</v>
      </c>
      <c r="E260" t="s">
        <v>62</v>
      </c>
      <c r="F260" s="9">
        <v>71</v>
      </c>
      <c r="G260" s="9">
        <v>68</v>
      </c>
      <c r="H260" s="9">
        <v>3</v>
      </c>
      <c r="I260" s="9">
        <v>171</v>
      </c>
      <c r="J260" s="9">
        <v>168</v>
      </c>
      <c r="K260" t="str">
        <f t="shared" si="8"/>
        <v>MEDIUM</v>
      </c>
      <c r="L260" t="s">
        <v>26</v>
      </c>
    </row>
    <row r="261" spans="1:12" x14ac:dyDescent="0.25">
      <c r="A261" t="s">
        <v>855</v>
      </c>
      <c r="B261" t="s">
        <v>789</v>
      </c>
      <c r="C261" t="s">
        <v>20</v>
      </c>
      <c r="D261" t="s">
        <v>21</v>
      </c>
      <c r="E261" t="s">
        <v>62</v>
      </c>
      <c r="F261" s="9">
        <v>159</v>
      </c>
      <c r="G261" s="9">
        <v>36</v>
      </c>
      <c r="H261" s="9">
        <v>123</v>
      </c>
      <c r="I261" s="9">
        <v>290</v>
      </c>
      <c r="J261" s="9">
        <v>167</v>
      </c>
      <c r="K261" t="str">
        <f t="shared" si="8"/>
        <v>MEDIUM</v>
      </c>
      <c r="L261" t="s">
        <v>26</v>
      </c>
    </row>
    <row r="262" spans="1:12" x14ac:dyDescent="0.25">
      <c r="A262" t="s">
        <v>433</v>
      </c>
      <c r="B262" t="s">
        <v>18</v>
      </c>
      <c r="C262" t="s">
        <v>434</v>
      </c>
      <c r="D262" t="s">
        <v>21</v>
      </c>
      <c r="E262" t="s">
        <v>83</v>
      </c>
      <c r="F262" s="9">
        <v>118</v>
      </c>
      <c r="G262" s="9">
        <v>41</v>
      </c>
      <c r="H262" s="9">
        <v>77</v>
      </c>
      <c r="I262" s="9">
        <v>242</v>
      </c>
      <c r="J262" s="9">
        <v>165</v>
      </c>
      <c r="K262" t="str">
        <f t="shared" si="8"/>
        <v>MEDIUM</v>
      </c>
      <c r="L262" t="s">
        <v>26</v>
      </c>
    </row>
    <row r="263" spans="1:12" x14ac:dyDescent="0.25">
      <c r="A263" t="s">
        <v>1184</v>
      </c>
      <c r="B263" t="s">
        <v>789</v>
      </c>
      <c r="C263" t="s">
        <v>229</v>
      </c>
      <c r="D263" t="s">
        <v>171</v>
      </c>
      <c r="E263" t="s">
        <v>83</v>
      </c>
      <c r="F263" s="9">
        <v>162</v>
      </c>
      <c r="G263" s="9">
        <v>96</v>
      </c>
      <c r="H263" s="9">
        <v>66</v>
      </c>
      <c r="I263" s="9">
        <v>231</v>
      </c>
      <c r="J263" s="9">
        <v>165</v>
      </c>
      <c r="K263" t="str">
        <f t="shared" si="8"/>
        <v>MEDIUM</v>
      </c>
      <c r="L263" t="s">
        <v>48</v>
      </c>
    </row>
    <row r="264" spans="1:12" x14ac:dyDescent="0.25">
      <c r="A264" t="s">
        <v>1103</v>
      </c>
      <c r="B264" t="s">
        <v>789</v>
      </c>
      <c r="C264" t="s">
        <v>229</v>
      </c>
      <c r="D264" t="s">
        <v>122</v>
      </c>
      <c r="E264" t="s">
        <v>62</v>
      </c>
      <c r="F264" s="9">
        <v>90</v>
      </c>
      <c r="G264" s="9">
        <v>14</v>
      </c>
      <c r="H264" s="9">
        <v>76</v>
      </c>
      <c r="I264" s="9">
        <v>240</v>
      </c>
      <c r="J264" s="9">
        <v>164</v>
      </c>
      <c r="K264" t="str">
        <f t="shared" si="8"/>
        <v>MEDIUM</v>
      </c>
      <c r="L264" t="s">
        <v>48</v>
      </c>
    </row>
    <row r="265" spans="1:12" x14ac:dyDescent="0.25">
      <c r="A265" t="s">
        <v>1400</v>
      </c>
      <c r="B265" t="s">
        <v>789</v>
      </c>
      <c r="C265" t="s">
        <v>434</v>
      </c>
      <c r="D265" t="s">
        <v>171</v>
      </c>
      <c r="E265" t="s">
        <v>83</v>
      </c>
      <c r="F265" s="9">
        <v>107</v>
      </c>
      <c r="G265" s="9">
        <v>20</v>
      </c>
      <c r="H265" s="9">
        <v>87</v>
      </c>
      <c r="I265" s="9">
        <v>249</v>
      </c>
      <c r="J265" s="9">
        <v>162</v>
      </c>
      <c r="K265" t="str">
        <f t="shared" si="8"/>
        <v>MEDIUM</v>
      </c>
      <c r="L265" t="s">
        <v>26</v>
      </c>
    </row>
    <row r="266" spans="1:12" x14ac:dyDescent="0.25">
      <c r="A266" t="s">
        <v>1465</v>
      </c>
      <c r="B266" t="s">
        <v>789</v>
      </c>
      <c r="C266" t="s">
        <v>601</v>
      </c>
      <c r="D266" t="s">
        <v>21</v>
      </c>
      <c r="E266" t="s">
        <v>35</v>
      </c>
      <c r="F266" s="9">
        <v>106</v>
      </c>
      <c r="G266" s="9">
        <v>86</v>
      </c>
      <c r="H266" s="9">
        <v>20</v>
      </c>
      <c r="I266" s="9">
        <v>182</v>
      </c>
      <c r="J266" s="9">
        <v>162</v>
      </c>
      <c r="K266" t="str">
        <f t="shared" si="8"/>
        <v>MEDIUM</v>
      </c>
      <c r="L266" t="s">
        <v>48</v>
      </c>
    </row>
    <row r="267" spans="1:12" x14ac:dyDescent="0.25">
      <c r="A267" t="s">
        <v>600</v>
      </c>
      <c r="B267" t="s">
        <v>18</v>
      </c>
      <c r="C267" t="s">
        <v>601</v>
      </c>
      <c r="D267" t="s">
        <v>21</v>
      </c>
      <c r="E267" t="s">
        <v>83</v>
      </c>
      <c r="F267" s="9">
        <v>183</v>
      </c>
      <c r="G267" s="9">
        <v>73</v>
      </c>
      <c r="H267" s="9">
        <v>110</v>
      </c>
      <c r="I267" s="9">
        <v>271</v>
      </c>
      <c r="J267" s="9">
        <v>161</v>
      </c>
      <c r="K267" t="str">
        <f t="shared" si="8"/>
        <v>MEDIUM</v>
      </c>
      <c r="L267" t="s">
        <v>48</v>
      </c>
    </row>
    <row r="268" spans="1:12" x14ac:dyDescent="0.25">
      <c r="A268" t="s">
        <v>1319</v>
      </c>
      <c r="B268" t="s">
        <v>789</v>
      </c>
      <c r="C268" t="s">
        <v>434</v>
      </c>
      <c r="D268" t="s">
        <v>122</v>
      </c>
      <c r="E268" t="s">
        <v>62</v>
      </c>
      <c r="F268" s="9">
        <v>133</v>
      </c>
      <c r="G268" s="9">
        <v>38</v>
      </c>
      <c r="H268" s="9">
        <v>95</v>
      </c>
      <c r="I268" s="9">
        <v>256</v>
      </c>
      <c r="J268" s="9">
        <v>161</v>
      </c>
      <c r="K268" t="str">
        <f t="shared" si="8"/>
        <v>MEDIUM</v>
      </c>
      <c r="L268" t="s">
        <v>26</v>
      </c>
    </row>
    <row r="269" spans="1:12" x14ac:dyDescent="0.25">
      <c r="A269" t="s">
        <v>1465</v>
      </c>
      <c r="B269" t="s">
        <v>789</v>
      </c>
      <c r="C269" t="s">
        <v>601</v>
      </c>
      <c r="D269" t="s">
        <v>21</v>
      </c>
      <c r="E269" t="s">
        <v>83</v>
      </c>
      <c r="F269" s="9">
        <v>158</v>
      </c>
      <c r="G269" s="9">
        <v>40</v>
      </c>
      <c r="H269" s="9">
        <v>118</v>
      </c>
      <c r="I269" s="9">
        <v>279</v>
      </c>
      <c r="J269" s="9">
        <v>161</v>
      </c>
      <c r="K269" t="str">
        <f t="shared" si="8"/>
        <v>MEDIUM</v>
      </c>
      <c r="L269" t="s">
        <v>26</v>
      </c>
    </row>
    <row r="270" spans="1:12" x14ac:dyDescent="0.25">
      <c r="A270" t="s">
        <v>554</v>
      </c>
      <c r="B270" t="s">
        <v>18</v>
      </c>
      <c r="C270" t="s">
        <v>434</v>
      </c>
      <c r="D270" t="s">
        <v>171</v>
      </c>
      <c r="E270" t="s">
        <v>83</v>
      </c>
      <c r="F270" s="9">
        <v>82</v>
      </c>
      <c r="G270" s="9">
        <v>63</v>
      </c>
      <c r="H270" s="9">
        <v>19</v>
      </c>
      <c r="I270" s="9">
        <v>178</v>
      </c>
      <c r="J270" s="9">
        <v>159</v>
      </c>
      <c r="K270" t="str">
        <f t="shared" si="8"/>
        <v>MEDIUM</v>
      </c>
      <c r="L270" t="s">
        <v>26</v>
      </c>
    </row>
    <row r="271" spans="1:12" x14ac:dyDescent="0.25">
      <c r="A271" t="s">
        <v>993</v>
      </c>
      <c r="B271" t="s">
        <v>789</v>
      </c>
      <c r="C271" t="s">
        <v>20</v>
      </c>
      <c r="D271" t="s">
        <v>171</v>
      </c>
      <c r="E271" t="s">
        <v>83</v>
      </c>
      <c r="F271" s="9">
        <v>139</v>
      </c>
      <c r="G271" s="9">
        <v>41</v>
      </c>
      <c r="H271" s="9">
        <v>98</v>
      </c>
      <c r="I271" s="9">
        <v>257</v>
      </c>
      <c r="J271" s="9">
        <v>159</v>
      </c>
      <c r="K271" t="str">
        <f t="shared" si="8"/>
        <v>MEDIUM</v>
      </c>
      <c r="L271" t="s">
        <v>48</v>
      </c>
    </row>
    <row r="272" spans="1:12" x14ac:dyDescent="0.25">
      <c r="A272" t="s">
        <v>1046</v>
      </c>
      <c r="B272" t="s">
        <v>789</v>
      </c>
      <c r="C272" t="s">
        <v>20</v>
      </c>
      <c r="D272" t="s">
        <v>843</v>
      </c>
      <c r="E272" t="s">
        <v>29</v>
      </c>
      <c r="F272" s="9">
        <v>188</v>
      </c>
      <c r="G272" s="9">
        <v>0</v>
      </c>
      <c r="H272" s="9">
        <v>188</v>
      </c>
      <c r="I272" s="9">
        <v>346</v>
      </c>
      <c r="J272" s="9">
        <v>158</v>
      </c>
      <c r="K272" t="str">
        <f t="shared" si="8"/>
        <v>MEDIUM</v>
      </c>
      <c r="L272" t="s">
        <v>26</v>
      </c>
    </row>
    <row r="273" spans="1:12" x14ac:dyDescent="0.25">
      <c r="A273" t="s">
        <v>1103</v>
      </c>
      <c r="B273" t="s">
        <v>789</v>
      </c>
      <c r="C273" t="s">
        <v>229</v>
      </c>
      <c r="D273" t="s">
        <v>122</v>
      </c>
      <c r="E273" t="s">
        <v>62</v>
      </c>
      <c r="F273" s="9">
        <v>66</v>
      </c>
      <c r="G273" s="9">
        <v>89</v>
      </c>
      <c r="H273" s="9">
        <v>0</v>
      </c>
      <c r="I273" s="9">
        <v>156</v>
      </c>
      <c r="J273" s="9">
        <v>156</v>
      </c>
      <c r="K273" t="str">
        <f t="shared" si="8"/>
        <v>CRITICAL</v>
      </c>
      <c r="L273" t="s">
        <v>26</v>
      </c>
    </row>
    <row r="274" spans="1:12" x14ac:dyDescent="0.25">
      <c r="A274" t="s">
        <v>1103</v>
      </c>
      <c r="B274" t="s">
        <v>789</v>
      </c>
      <c r="C274" t="s">
        <v>229</v>
      </c>
      <c r="D274" t="s">
        <v>122</v>
      </c>
      <c r="E274" t="s">
        <v>62</v>
      </c>
      <c r="F274" s="9">
        <v>168</v>
      </c>
      <c r="G274" s="9">
        <v>82</v>
      </c>
      <c r="H274" s="9">
        <v>86</v>
      </c>
      <c r="I274" s="9">
        <v>241</v>
      </c>
      <c r="J274" s="9">
        <v>155</v>
      </c>
      <c r="K274" t="str">
        <f t="shared" si="8"/>
        <v>MEDIUM</v>
      </c>
      <c r="L274" t="s">
        <v>26</v>
      </c>
    </row>
    <row r="275" spans="1:12" x14ac:dyDescent="0.25">
      <c r="A275" t="s">
        <v>2588</v>
      </c>
      <c r="B275" t="s">
        <v>2170</v>
      </c>
      <c r="C275" t="s">
        <v>2589</v>
      </c>
      <c r="D275" t="s">
        <v>21</v>
      </c>
      <c r="E275" t="s">
        <v>35</v>
      </c>
      <c r="F275" s="9">
        <v>301</v>
      </c>
      <c r="G275" s="9">
        <v>89</v>
      </c>
      <c r="H275" s="9">
        <v>212</v>
      </c>
      <c r="I275" s="9">
        <v>366</v>
      </c>
      <c r="J275" s="9">
        <v>154</v>
      </c>
      <c r="K275" t="str">
        <f t="shared" si="8"/>
        <v>MEDIUM</v>
      </c>
      <c r="L275" t="s">
        <v>26</v>
      </c>
    </row>
    <row r="276" spans="1:12" x14ac:dyDescent="0.25">
      <c r="A276" t="s">
        <v>17</v>
      </c>
      <c r="B276" t="s">
        <v>18</v>
      </c>
      <c r="C276" t="s">
        <v>20</v>
      </c>
      <c r="D276" t="s">
        <v>21</v>
      </c>
      <c r="E276" t="s">
        <v>62</v>
      </c>
      <c r="F276" s="9">
        <v>180</v>
      </c>
      <c r="G276" s="9">
        <v>76</v>
      </c>
      <c r="H276" s="9">
        <v>104</v>
      </c>
      <c r="I276" s="9">
        <v>257</v>
      </c>
      <c r="J276" s="9">
        <v>153</v>
      </c>
      <c r="K276" t="str">
        <f t="shared" si="8"/>
        <v>MEDIUM</v>
      </c>
      <c r="L276" t="s">
        <v>26</v>
      </c>
    </row>
    <row r="277" spans="1:12" x14ac:dyDescent="0.25">
      <c r="A277" t="s">
        <v>2661</v>
      </c>
      <c r="B277" t="s">
        <v>2170</v>
      </c>
      <c r="C277" t="s">
        <v>2589</v>
      </c>
      <c r="D277" t="s">
        <v>171</v>
      </c>
      <c r="E277" t="s">
        <v>83</v>
      </c>
      <c r="F277" s="9">
        <v>245</v>
      </c>
      <c r="G277" s="9">
        <v>36</v>
      </c>
      <c r="H277" s="9">
        <v>209</v>
      </c>
      <c r="I277" s="9">
        <v>362</v>
      </c>
      <c r="J277" s="9">
        <v>153</v>
      </c>
      <c r="K277" t="str">
        <f t="shared" si="8"/>
        <v>MEDIUM</v>
      </c>
      <c r="L277" t="s">
        <v>26</v>
      </c>
    </row>
    <row r="278" spans="1:12" x14ac:dyDescent="0.25">
      <c r="A278" t="s">
        <v>17</v>
      </c>
      <c r="B278" t="s">
        <v>18</v>
      </c>
      <c r="C278" t="s">
        <v>20</v>
      </c>
      <c r="D278" t="s">
        <v>21</v>
      </c>
      <c r="E278" t="s">
        <v>35</v>
      </c>
      <c r="F278" s="9">
        <v>134</v>
      </c>
      <c r="G278" s="9">
        <v>1</v>
      </c>
      <c r="H278" s="9">
        <v>133</v>
      </c>
      <c r="I278" s="9">
        <v>285</v>
      </c>
      <c r="J278" s="9">
        <v>152</v>
      </c>
      <c r="K278" t="str">
        <f t="shared" si="8"/>
        <v>MEDIUM</v>
      </c>
      <c r="L278" t="s">
        <v>26</v>
      </c>
    </row>
    <row r="279" spans="1:12" x14ac:dyDescent="0.25">
      <c r="A279" t="s">
        <v>121</v>
      </c>
      <c r="B279" t="s">
        <v>18</v>
      </c>
      <c r="C279" t="s">
        <v>20</v>
      </c>
      <c r="D279" t="s">
        <v>122</v>
      </c>
      <c r="E279" t="s">
        <v>83</v>
      </c>
      <c r="F279" s="9">
        <v>116</v>
      </c>
      <c r="G279" s="9">
        <v>44</v>
      </c>
      <c r="H279" s="9">
        <v>72</v>
      </c>
      <c r="I279" s="9">
        <v>224</v>
      </c>
      <c r="J279" s="9">
        <v>152</v>
      </c>
      <c r="K279" t="str">
        <f t="shared" si="8"/>
        <v>MEDIUM</v>
      </c>
      <c r="L279" t="s">
        <v>48</v>
      </c>
    </row>
    <row r="280" spans="1:12" x14ac:dyDescent="0.25">
      <c r="A280" t="s">
        <v>1555</v>
      </c>
      <c r="B280" t="s">
        <v>789</v>
      </c>
      <c r="C280" t="s">
        <v>601</v>
      </c>
      <c r="D280" t="s">
        <v>171</v>
      </c>
      <c r="E280" t="s">
        <v>83</v>
      </c>
      <c r="F280" s="9">
        <v>69</v>
      </c>
      <c r="G280" s="9">
        <v>13</v>
      </c>
      <c r="H280" s="9">
        <v>56</v>
      </c>
      <c r="I280" s="9">
        <v>208</v>
      </c>
      <c r="J280" s="9">
        <v>152</v>
      </c>
      <c r="K280" t="str">
        <f t="shared" si="8"/>
        <v>MEDIUM</v>
      </c>
      <c r="L280" t="s">
        <v>26</v>
      </c>
    </row>
    <row r="281" spans="1:12" x14ac:dyDescent="0.25">
      <c r="A281" t="s">
        <v>1389</v>
      </c>
      <c r="B281" t="s">
        <v>789</v>
      </c>
      <c r="C281" t="s">
        <v>434</v>
      </c>
      <c r="D281" t="s">
        <v>817</v>
      </c>
      <c r="E281" t="s">
        <v>35</v>
      </c>
      <c r="F281" s="9">
        <v>111</v>
      </c>
      <c r="G281" s="9">
        <v>9</v>
      </c>
      <c r="H281" s="9">
        <v>102</v>
      </c>
      <c r="I281" s="9">
        <v>252</v>
      </c>
      <c r="J281" s="9">
        <v>150</v>
      </c>
      <c r="K281" t="str">
        <f t="shared" si="8"/>
        <v>MEDIUM</v>
      </c>
      <c r="L281" t="s">
        <v>26</v>
      </c>
    </row>
    <row r="282" spans="1:12" x14ac:dyDescent="0.25">
      <c r="A282" t="s">
        <v>816</v>
      </c>
      <c r="B282" t="s">
        <v>789</v>
      </c>
      <c r="C282" t="s">
        <v>601</v>
      </c>
      <c r="D282" t="s">
        <v>817</v>
      </c>
      <c r="E282" t="s">
        <v>35</v>
      </c>
      <c r="F282" s="9">
        <v>157</v>
      </c>
      <c r="G282" s="9">
        <v>1</v>
      </c>
      <c r="H282" s="9">
        <v>156</v>
      </c>
      <c r="I282" s="9">
        <v>305</v>
      </c>
      <c r="J282" s="9">
        <v>149</v>
      </c>
      <c r="K282" t="str">
        <f t="shared" si="8"/>
        <v>MEDIUM</v>
      </c>
      <c r="L282" t="s">
        <v>26</v>
      </c>
    </row>
    <row r="283" spans="1:12" x14ac:dyDescent="0.25">
      <c r="A283" t="s">
        <v>1162</v>
      </c>
      <c r="B283" t="s">
        <v>789</v>
      </c>
      <c r="C283" t="s">
        <v>229</v>
      </c>
      <c r="D283" t="s">
        <v>804</v>
      </c>
      <c r="E283" t="s">
        <v>35</v>
      </c>
      <c r="F283" s="9">
        <v>60</v>
      </c>
      <c r="G283" s="9">
        <v>2</v>
      </c>
      <c r="H283" s="9">
        <v>58</v>
      </c>
      <c r="I283" s="9">
        <v>206</v>
      </c>
      <c r="J283" s="9">
        <v>148</v>
      </c>
      <c r="K283" t="str">
        <f t="shared" si="8"/>
        <v>MEDIUM</v>
      </c>
      <c r="L283" t="s">
        <v>26</v>
      </c>
    </row>
    <row r="284" spans="1:12" x14ac:dyDescent="0.25">
      <c r="A284" t="s">
        <v>433</v>
      </c>
      <c r="B284" t="s">
        <v>18</v>
      </c>
      <c r="C284" t="s">
        <v>434</v>
      </c>
      <c r="D284" t="s">
        <v>21</v>
      </c>
      <c r="E284" t="s">
        <v>62</v>
      </c>
      <c r="F284" s="9">
        <v>74</v>
      </c>
      <c r="G284" s="9">
        <v>19</v>
      </c>
      <c r="H284" s="9">
        <v>55</v>
      </c>
      <c r="I284" s="9">
        <v>202</v>
      </c>
      <c r="J284" s="9">
        <v>147</v>
      </c>
      <c r="K284" t="str">
        <f t="shared" si="8"/>
        <v>MEDIUM</v>
      </c>
      <c r="L284" t="s">
        <v>26</v>
      </c>
    </row>
    <row r="285" spans="1:12" x14ac:dyDescent="0.25">
      <c r="A285" t="s">
        <v>921</v>
      </c>
      <c r="B285" t="s">
        <v>789</v>
      </c>
      <c r="C285" t="s">
        <v>20</v>
      </c>
      <c r="D285" t="s">
        <v>122</v>
      </c>
      <c r="E285" t="s">
        <v>83</v>
      </c>
      <c r="F285" s="9">
        <v>155</v>
      </c>
      <c r="G285" s="9">
        <v>53</v>
      </c>
      <c r="H285" s="9">
        <v>102</v>
      </c>
      <c r="I285" s="9">
        <v>248</v>
      </c>
      <c r="J285" s="9">
        <v>146</v>
      </c>
      <c r="K285" t="str">
        <f t="shared" si="8"/>
        <v>MEDIUM</v>
      </c>
      <c r="L285" t="s">
        <v>26</v>
      </c>
    </row>
    <row r="286" spans="1:12" x14ac:dyDescent="0.25">
      <c r="A286" t="s">
        <v>1241</v>
      </c>
      <c r="B286" t="s">
        <v>789</v>
      </c>
      <c r="C286" t="s">
        <v>229</v>
      </c>
      <c r="D286" t="s">
        <v>843</v>
      </c>
      <c r="E286" t="s">
        <v>62</v>
      </c>
      <c r="F286" s="9">
        <v>73</v>
      </c>
      <c r="G286" s="9">
        <v>2</v>
      </c>
      <c r="H286" s="9">
        <v>71</v>
      </c>
      <c r="I286" s="9">
        <v>217</v>
      </c>
      <c r="J286" s="9">
        <v>146</v>
      </c>
      <c r="K286" t="str">
        <f t="shared" si="8"/>
        <v>MEDIUM</v>
      </c>
      <c r="L286" t="s">
        <v>26</v>
      </c>
    </row>
    <row r="287" spans="1:12" x14ac:dyDescent="0.25">
      <c r="A287" t="s">
        <v>491</v>
      </c>
      <c r="B287" t="s">
        <v>18</v>
      </c>
      <c r="C287" t="s">
        <v>434</v>
      </c>
      <c r="D287" t="s">
        <v>122</v>
      </c>
      <c r="E287" t="s">
        <v>35</v>
      </c>
      <c r="F287" s="9">
        <v>136</v>
      </c>
      <c r="G287" s="9">
        <v>20</v>
      </c>
      <c r="H287" s="9">
        <v>116</v>
      </c>
      <c r="I287" s="9">
        <v>261</v>
      </c>
      <c r="J287" s="9">
        <v>145</v>
      </c>
      <c r="K287" t="str">
        <f t="shared" si="8"/>
        <v>MEDIUM</v>
      </c>
      <c r="L287" t="s">
        <v>26</v>
      </c>
    </row>
    <row r="288" spans="1:12" x14ac:dyDescent="0.25">
      <c r="A288" t="s">
        <v>735</v>
      </c>
      <c r="B288" t="s">
        <v>18</v>
      </c>
      <c r="C288" t="s">
        <v>601</v>
      </c>
      <c r="D288" t="s">
        <v>171</v>
      </c>
      <c r="E288" t="s">
        <v>35</v>
      </c>
      <c r="F288" s="9">
        <v>108</v>
      </c>
      <c r="G288" s="9">
        <v>27</v>
      </c>
      <c r="H288" s="9">
        <v>81</v>
      </c>
      <c r="I288" s="9">
        <v>224</v>
      </c>
      <c r="J288" s="9">
        <v>143</v>
      </c>
      <c r="K288" t="str">
        <f t="shared" si="8"/>
        <v>MEDIUM</v>
      </c>
      <c r="L288" t="s">
        <v>26</v>
      </c>
    </row>
    <row r="289" spans="1:12" x14ac:dyDescent="0.25">
      <c r="A289" t="s">
        <v>1184</v>
      </c>
      <c r="B289" t="s">
        <v>789</v>
      </c>
      <c r="C289" t="s">
        <v>229</v>
      </c>
      <c r="D289" t="s">
        <v>171</v>
      </c>
      <c r="E289" t="s">
        <v>35</v>
      </c>
      <c r="F289" s="9">
        <v>124</v>
      </c>
      <c r="G289" s="9">
        <v>56</v>
      </c>
      <c r="H289" s="9">
        <v>68</v>
      </c>
      <c r="I289" s="9">
        <v>210</v>
      </c>
      <c r="J289" s="9">
        <v>142</v>
      </c>
      <c r="K289" t="str">
        <f t="shared" ref="K289:K352" si="9">IF(H289=0,"CRITICAL",IF(J289&gt;200,"HIGH","MEDIUM"))</f>
        <v>MEDIUM</v>
      </c>
      <c r="L289" t="s">
        <v>26</v>
      </c>
    </row>
    <row r="290" spans="1:12" x14ac:dyDescent="0.25">
      <c r="A290" t="s">
        <v>1400</v>
      </c>
      <c r="B290" t="s">
        <v>789</v>
      </c>
      <c r="C290" t="s">
        <v>434</v>
      </c>
      <c r="D290" t="s">
        <v>171</v>
      </c>
      <c r="E290" t="s">
        <v>35</v>
      </c>
      <c r="F290" s="9">
        <v>84</v>
      </c>
      <c r="G290" s="9">
        <v>64</v>
      </c>
      <c r="H290" s="9">
        <v>20</v>
      </c>
      <c r="I290" s="9">
        <v>162</v>
      </c>
      <c r="J290" s="9">
        <v>142</v>
      </c>
      <c r="K290" t="str">
        <f t="shared" si="9"/>
        <v>MEDIUM</v>
      </c>
      <c r="L290" t="s">
        <v>26</v>
      </c>
    </row>
    <row r="291" spans="1:12" x14ac:dyDescent="0.25">
      <c r="A291" t="s">
        <v>993</v>
      </c>
      <c r="B291" t="s">
        <v>789</v>
      </c>
      <c r="C291" t="s">
        <v>20</v>
      </c>
      <c r="D291" t="s">
        <v>171</v>
      </c>
      <c r="E291" t="s">
        <v>35</v>
      </c>
      <c r="F291" s="9">
        <v>119</v>
      </c>
      <c r="G291" s="9">
        <v>76</v>
      </c>
      <c r="H291" s="9">
        <v>43</v>
      </c>
      <c r="I291" s="9">
        <v>183</v>
      </c>
      <c r="J291" s="9">
        <v>140</v>
      </c>
      <c r="K291" t="str">
        <f t="shared" si="9"/>
        <v>MEDIUM</v>
      </c>
      <c r="L291" t="s">
        <v>26</v>
      </c>
    </row>
    <row r="292" spans="1:12" x14ac:dyDescent="0.25">
      <c r="A292" t="s">
        <v>855</v>
      </c>
      <c r="B292" t="s">
        <v>789</v>
      </c>
      <c r="C292" t="s">
        <v>20</v>
      </c>
      <c r="D292" t="s">
        <v>21</v>
      </c>
      <c r="E292" t="s">
        <v>35</v>
      </c>
      <c r="F292" s="9">
        <v>139</v>
      </c>
      <c r="G292" s="9">
        <v>21</v>
      </c>
      <c r="H292" s="9">
        <v>118</v>
      </c>
      <c r="I292" s="9">
        <v>257</v>
      </c>
      <c r="J292" s="9">
        <v>139</v>
      </c>
      <c r="K292" t="str">
        <f t="shared" si="9"/>
        <v>MEDIUM</v>
      </c>
      <c r="L292" t="s">
        <v>26</v>
      </c>
    </row>
    <row r="293" spans="1:12" x14ac:dyDescent="0.25">
      <c r="A293" t="s">
        <v>305</v>
      </c>
      <c r="B293" t="s">
        <v>18</v>
      </c>
      <c r="C293" t="s">
        <v>229</v>
      </c>
      <c r="D293" t="s">
        <v>122</v>
      </c>
      <c r="E293" t="s">
        <v>35</v>
      </c>
      <c r="F293" s="9">
        <v>140</v>
      </c>
      <c r="G293" s="9">
        <v>46</v>
      </c>
      <c r="H293" s="9">
        <v>94</v>
      </c>
      <c r="I293" s="9">
        <v>232</v>
      </c>
      <c r="J293" s="9">
        <v>138</v>
      </c>
      <c r="K293" t="str">
        <f t="shared" si="9"/>
        <v>MEDIUM</v>
      </c>
      <c r="L293" t="s">
        <v>48</v>
      </c>
    </row>
    <row r="294" spans="1:12" x14ac:dyDescent="0.25">
      <c r="A294" t="s">
        <v>829</v>
      </c>
      <c r="B294" t="s">
        <v>789</v>
      </c>
      <c r="C294" t="s">
        <v>601</v>
      </c>
      <c r="D294" t="s">
        <v>830</v>
      </c>
      <c r="E294" t="s">
        <v>35</v>
      </c>
      <c r="F294" s="9">
        <v>96</v>
      </c>
      <c r="G294" s="9">
        <v>0</v>
      </c>
      <c r="H294" s="9">
        <v>96</v>
      </c>
      <c r="I294" s="9">
        <v>234</v>
      </c>
      <c r="J294" s="9">
        <v>138</v>
      </c>
      <c r="K294" t="str">
        <f t="shared" si="9"/>
        <v>MEDIUM</v>
      </c>
      <c r="L294" t="s">
        <v>26</v>
      </c>
    </row>
    <row r="295" spans="1:12" x14ac:dyDescent="0.25">
      <c r="A295" t="s">
        <v>17</v>
      </c>
      <c r="B295" t="s">
        <v>18</v>
      </c>
      <c r="C295" t="s">
        <v>20</v>
      </c>
      <c r="D295" t="s">
        <v>21</v>
      </c>
      <c r="E295" t="s">
        <v>62</v>
      </c>
      <c r="F295" s="9">
        <v>84</v>
      </c>
      <c r="G295" s="9">
        <v>26</v>
      </c>
      <c r="H295" s="9">
        <v>58</v>
      </c>
      <c r="I295" s="9">
        <v>195</v>
      </c>
      <c r="J295" s="9">
        <v>137</v>
      </c>
      <c r="K295" t="str">
        <f t="shared" si="9"/>
        <v>MEDIUM</v>
      </c>
      <c r="L295" t="s">
        <v>26</v>
      </c>
    </row>
    <row r="296" spans="1:12" x14ac:dyDescent="0.25">
      <c r="A296" t="s">
        <v>1230</v>
      </c>
      <c r="B296" t="s">
        <v>789</v>
      </c>
      <c r="C296" t="s">
        <v>229</v>
      </c>
      <c r="D296" t="s">
        <v>830</v>
      </c>
      <c r="E296" t="s">
        <v>29</v>
      </c>
      <c r="F296" s="9">
        <v>78</v>
      </c>
      <c r="G296" s="9">
        <v>7</v>
      </c>
      <c r="H296" s="9">
        <v>71</v>
      </c>
      <c r="I296" s="9">
        <v>208</v>
      </c>
      <c r="J296" s="9">
        <v>137</v>
      </c>
      <c r="K296" t="str">
        <f t="shared" si="9"/>
        <v>MEDIUM</v>
      </c>
      <c r="L296" t="s">
        <v>26</v>
      </c>
    </row>
    <row r="297" spans="1:12" x14ac:dyDescent="0.25">
      <c r="A297" t="s">
        <v>121</v>
      </c>
      <c r="B297" t="s">
        <v>18</v>
      </c>
      <c r="C297" t="s">
        <v>20</v>
      </c>
      <c r="D297" t="s">
        <v>122</v>
      </c>
      <c r="E297" t="s">
        <v>83</v>
      </c>
      <c r="F297" s="9">
        <v>97</v>
      </c>
      <c r="G297" s="9">
        <v>67</v>
      </c>
      <c r="H297" s="9">
        <v>30</v>
      </c>
      <c r="I297" s="9">
        <v>166</v>
      </c>
      <c r="J297" s="9">
        <v>136</v>
      </c>
      <c r="K297" t="str">
        <f t="shared" si="9"/>
        <v>MEDIUM</v>
      </c>
      <c r="L297" t="s">
        <v>26</v>
      </c>
    </row>
    <row r="298" spans="1:12" x14ac:dyDescent="0.25">
      <c r="A298" t="s">
        <v>305</v>
      </c>
      <c r="B298" t="s">
        <v>18</v>
      </c>
      <c r="C298" t="s">
        <v>229</v>
      </c>
      <c r="D298" t="s">
        <v>122</v>
      </c>
      <c r="E298" t="s">
        <v>35</v>
      </c>
      <c r="F298" s="9">
        <v>155</v>
      </c>
      <c r="G298" s="9">
        <v>17</v>
      </c>
      <c r="H298" s="9">
        <v>138</v>
      </c>
      <c r="I298" s="9">
        <v>273</v>
      </c>
      <c r="J298" s="9">
        <v>135</v>
      </c>
      <c r="K298" t="str">
        <f t="shared" si="9"/>
        <v>MEDIUM</v>
      </c>
      <c r="L298" t="s">
        <v>26</v>
      </c>
    </row>
    <row r="299" spans="1:12" x14ac:dyDescent="0.25">
      <c r="A299" t="s">
        <v>1253</v>
      </c>
      <c r="B299" t="s">
        <v>789</v>
      </c>
      <c r="C299" t="s">
        <v>434</v>
      </c>
      <c r="D299" t="s">
        <v>21</v>
      </c>
      <c r="E299" t="s">
        <v>35</v>
      </c>
      <c r="F299" s="9">
        <v>94</v>
      </c>
      <c r="G299" s="9">
        <v>71</v>
      </c>
      <c r="H299" s="9">
        <v>23</v>
      </c>
      <c r="I299" s="9">
        <v>158</v>
      </c>
      <c r="J299" s="9">
        <v>135</v>
      </c>
      <c r="K299" t="str">
        <f t="shared" si="9"/>
        <v>MEDIUM</v>
      </c>
      <c r="L299" t="s">
        <v>26</v>
      </c>
    </row>
    <row r="300" spans="1:12" x14ac:dyDescent="0.25">
      <c r="A300" t="s">
        <v>1389</v>
      </c>
      <c r="B300" t="s">
        <v>789</v>
      </c>
      <c r="C300" t="s">
        <v>434</v>
      </c>
      <c r="D300" t="s">
        <v>817</v>
      </c>
      <c r="E300" t="s">
        <v>29</v>
      </c>
      <c r="F300" s="9">
        <v>138</v>
      </c>
      <c r="G300" s="9">
        <v>6</v>
      </c>
      <c r="H300" s="9">
        <v>132</v>
      </c>
      <c r="I300" s="9">
        <v>267</v>
      </c>
      <c r="J300" s="9">
        <v>135</v>
      </c>
      <c r="K300" t="str">
        <f t="shared" si="9"/>
        <v>MEDIUM</v>
      </c>
      <c r="L300" t="s">
        <v>26</v>
      </c>
    </row>
    <row r="301" spans="1:12" x14ac:dyDescent="0.25">
      <c r="A301" t="s">
        <v>2459</v>
      </c>
      <c r="B301" t="s">
        <v>2170</v>
      </c>
      <c r="C301" t="s">
        <v>2460</v>
      </c>
      <c r="D301" t="s">
        <v>21</v>
      </c>
      <c r="E301" t="s">
        <v>83</v>
      </c>
      <c r="F301" s="9">
        <v>301</v>
      </c>
      <c r="G301" s="9">
        <v>86</v>
      </c>
      <c r="H301" s="9">
        <v>215</v>
      </c>
      <c r="I301" s="9">
        <v>350</v>
      </c>
      <c r="J301" s="9">
        <v>135</v>
      </c>
      <c r="K301" t="str">
        <f t="shared" si="9"/>
        <v>MEDIUM</v>
      </c>
      <c r="L301" t="s">
        <v>26</v>
      </c>
    </row>
    <row r="302" spans="1:12" x14ac:dyDescent="0.25">
      <c r="A302" t="s">
        <v>370</v>
      </c>
      <c r="B302" t="s">
        <v>18</v>
      </c>
      <c r="C302" t="s">
        <v>229</v>
      </c>
      <c r="D302" t="s">
        <v>171</v>
      </c>
      <c r="E302" t="s">
        <v>62</v>
      </c>
      <c r="F302" s="9">
        <v>135</v>
      </c>
      <c r="G302" s="9">
        <v>54</v>
      </c>
      <c r="H302" s="9">
        <v>81</v>
      </c>
      <c r="I302" s="9">
        <v>215</v>
      </c>
      <c r="J302" s="9">
        <v>134</v>
      </c>
      <c r="K302" t="str">
        <f t="shared" si="9"/>
        <v>MEDIUM</v>
      </c>
      <c r="L302" t="s">
        <v>26</v>
      </c>
    </row>
    <row r="303" spans="1:12" x14ac:dyDescent="0.25">
      <c r="A303" t="s">
        <v>370</v>
      </c>
      <c r="B303" t="s">
        <v>18</v>
      </c>
      <c r="C303" t="s">
        <v>229</v>
      </c>
      <c r="D303" t="s">
        <v>171</v>
      </c>
      <c r="E303" t="s">
        <v>35</v>
      </c>
      <c r="F303" s="9">
        <v>164</v>
      </c>
      <c r="G303" s="9">
        <v>71</v>
      </c>
      <c r="H303" s="9">
        <v>93</v>
      </c>
      <c r="I303" s="9">
        <v>226</v>
      </c>
      <c r="J303" s="9">
        <v>133</v>
      </c>
      <c r="K303" t="str">
        <f t="shared" si="9"/>
        <v>MEDIUM</v>
      </c>
      <c r="L303" t="s">
        <v>26</v>
      </c>
    </row>
    <row r="304" spans="1:12" x14ac:dyDescent="0.25">
      <c r="A304" t="s">
        <v>675</v>
      </c>
      <c r="B304" t="s">
        <v>18</v>
      </c>
      <c r="C304" t="s">
        <v>601</v>
      </c>
      <c r="D304" t="s">
        <v>122</v>
      </c>
      <c r="E304" t="s">
        <v>35</v>
      </c>
      <c r="F304" s="9">
        <v>93</v>
      </c>
      <c r="G304" s="9">
        <v>3</v>
      </c>
      <c r="H304" s="9">
        <v>90</v>
      </c>
      <c r="I304" s="9">
        <v>223</v>
      </c>
      <c r="J304" s="9">
        <v>133</v>
      </c>
      <c r="K304" t="str">
        <f t="shared" si="9"/>
        <v>MEDIUM</v>
      </c>
      <c r="L304" t="s">
        <v>26</v>
      </c>
    </row>
    <row r="305" spans="1:12" x14ac:dyDescent="0.25">
      <c r="A305" t="s">
        <v>170</v>
      </c>
      <c r="B305" t="s">
        <v>18</v>
      </c>
      <c r="C305" t="s">
        <v>20</v>
      </c>
      <c r="D305" t="s">
        <v>171</v>
      </c>
      <c r="E305" t="s">
        <v>35</v>
      </c>
      <c r="F305" s="9">
        <v>132</v>
      </c>
      <c r="G305" s="9">
        <v>79</v>
      </c>
      <c r="H305" s="9">
        <v>53</v>
      </c>
      <c r="I305" s="9">
        <v>185</v>
      </c>
      <c r="J305" s="9">
        <v>132</v>
      </c>
      <c r="K305" t="str">
        <f t="shared" si="9"/>
        <v>MEDIUM</v>
      </c>
      <c r="L305" t="s">
        <v>26</v>
      </c>
    </row>
    <row r="306" spans="1:12" x14ac:dyDescent="0.25">
      <c r="A306" t="s">
        <v>1555</v>
      </c>
      <c r="B306" t="s">
        <v>789</v>
      </c>
      <c r="C306" t="s">
        <v>601</v>
      </c>
      <c r="D306" t="s">
        <v>171</v>
      </c>
      <c r="E306" t="s">
        <v>83</v>
      </c>
      <c r="F306" s="9">
        <v>113</v>
      </c>
      <c r="G306" s="9">
        <v>45</v>
      </c>
      <c r="H306" s="9">
        <v>68</v>
      </c>
      <c r="I306" s="9">
        <v>199</v>
      </c>
      <c r="J306" s="9">
        <v>131</v>
      </c>
      <c r="K306" t="str">
        <f t="shared" si="9"/>
        <v>MEDIUM</v>
      </c>
      <c r="L306" t="s">
        <v>26</v>
      </c>
    </row>
    <row r="307" spans="1:12" x14ac:dyDescent="0.25">
      <c r="A307" t="s">
        <v>433</v>
      </c>
      <c r="B307" t="s">
        <v>18</v>
      </c>
      <c r="C307" t="s">
        <v>434</v>
      </c>
      <c r="D307" t="s">
        <v>21</v>
      </c>
      <c r="E307" t="s">
        <v>35</v>
      </c>
      <c r="F307" s="9">
        <v>146</v>
      </c>
      <c r="G307" s="9">
        <v>24</v>
      </c>
      <c r="H307" s="9">
        <v>122</v>
      </c>
      <c r="I307" s="9">
        <v>252</v>
      </c>
      <c r="J307" s="9">
        <v>130</v>
      </c>
      <c r="K307" t="str">
        <f t="shared" si="9"/>
        <v>MEDIUM</v>
      </c>
      <c r="L307" t="s">
        <v>48</v>
      </c>
    </row>
    <row r="308" spans="1:12" x14ac:dyDescent="0.25">
      <c r="A308" t="s">
        <v>855</v>
      </c>
      <c r="B308" t="s">
        <v>789</v>
      </c>
      <c r="C308" t="s">
        <v>20</v>
      </c>
      <c r="D308" t="s">
        <v>21</v>
      </c>
      <c r="E308" t="s">
        <v>83</v>
      </c>
      <c r="F308" s="9">
        <v>194</v>
      </c>
      <c r="G308" s="9">
        <v>32</v>
      </c>
      <c r="H308" s="9">
        <v>162</v>
      </c>
      <c r="I308" s="9">
        <v>290</v>
      </c>
      <c r="J308" s="9">
        <v>128</v>
      </c>
      <c r="K308" t="str">
        <f t="shared" si="9"/>
        <v>MEDIUM</v>
      </c>
      <c r="L308" t="s">
        <v>48</v>
      </c>
    </row>
    <row r="309" spans="1:12" x14ac:dyDescent="0.25">
      <c r="A309" t="s">
        <v>1500</v>
      </c>
      <c r="B309" t="s">
        <v>789</v>
      </c>
      <c r="C309" t="s">
        <v>601</v>
      </c>
      <c r="D309" t="s">
        <v>122</v>
      </c>
      <c r="E309" t="s">
        <v>83</v>
      </c>
      <c r="F309" s="9">
        <v>83</v>
      </c>
      <c r="G309" s="9">
        <v>4</v>
      </c>
      <c r="H309" s="9">
        <v>79</v>
      </c>
      <c r="I309" s="9">
        <v>207</v>
      </c>
      <c r="J309" s="9">
        <v>128</v>
      </c>
      <c r="K309" t="str">
        <f t="shared" si="9"/>
        <v>MEDIUM</v>
      </c>
      <c r="L309" t="s">
        <v>26</v>
      </c>
    </row>
    <row r="310" spans="1:12" x14ac:dyDescent="0.25">
      <c r="A310" t="s">
        <v>829</v>
      </c>
      <c r="B310" t="s">
        <v>789</v>
      </c>
      <c r="C310" t="s">
        <v>601</v>
      </c>
      <c r="D310" t="s">
        <v>830</v>
      </c>
      <c r="E310" t="s">
        <v>62</v>
      </c>
      <c r="F310" s="9">
        <v>171</v>
      </c>
      <c r="G310" s="9">
        <v>5</v>
      </c>
      <c r="H310" s="9">
        <v>166</v>
      </c>
      <c r="I310" s="9">
        <v>292</v>
      </c>
      <c r="J310" s="9">
        <v>126</v>
      </c>
      <c r="K310" t="str">
        <f t="shared" si="9"/>
        <v>MEDIUM</v>
      </c>
      <c r="L310" t="s">
        <v>26</v>
      </c>
    </row>
    <row r="311" spans="1:12" x14ac:dyDescent="0.25">
      <c r="A311" t="s">
        <v>1443</v>
      </c>
      <c r="B311" t="s">
        <v>789</v>
      </c>
      <c r="C311" t="s">
        <v>434</v>
      </c>
      <c r="D311" t="s">
        <v>830</v>
      </c>
      <c r="E311" t="s">
        <v>35</v>
      </c>
      <c r="F311" s="9">
        <v>135</v>
      </c>
      <c r="G311" s="9">
        <v>2</v>
      </c>
      <c r="H311" s="9">
        <v>133</v>
      </c>
      <c r="I311" s="9">
        <v>259</v>
      </c>
      <c r="J311" s="9">
        <v>126</v>
      </c>
      <c r="K311" t="str">
        <f t="shared" si="9"/>
        <v>MEDIUM</v>
      </c>
      <c r="L311" t="s">
        <v>26</v>
      </c>
    </row>
    <row r="312" spans="1:12" x14ac:dyDescent="0.25">
      <c r="A312" t="s">
        <v>675</v>
      </c>
      <c r="B312" t="s">
        <v>18</v>
      </c>
      <c r="C312" t="s">
        <v>601</v>
      </c>
      <c r="D312" t="s">
        <v>122</v>
      </c>
      <c r="E312" t="s">
        <v>62</v>
      </c>
      <c r="F312" s="9">
        <v>144</v>
      </c>
      <c r="G312" s="9">
        <v>85</v>
      </c>
      <c r="H312" s="9">
        <v>59</v>
      </c>
      <c r="I312" s="9">
        <v>184</v>
      </c>
      <c r="J312" s="9">
        <v>125</v>
      </c>
      <c r="K312" t="str">
        <f t="shared" si="9"/>
        <v>MEDIUM</v>
      </c>
      <c r="L312" t="s">
        <v>48</v>
      </c>
    </row>
    <row r="313" spans="1:12" x14ac:dyDescent="0.25">
      <c r="A313" t="s">
        <v>993</v>
      </c>
      <c r="B313" t="s">
        <v>789</v>
      </c>
      <c r="C313" t="s">
        <v>20</v>
      </c>
      <c r="D313" t="s">
        <v>171</v>
      </c>
      <c r="E313" t="s">
        <v>62</v>
      </c>
      <c r="F313" s="9">
        <v>138</v>
      </c>
      <c r="G313" s="9">
        <v>15</v>
      </c>
      <c r="H313" s="9">
        <v>123</v>
      </c>
      <c r="I313" s="9">
        <v>248</v>
      </c>
      <c r="J313" s="9">
        <v>125</v>
      </c>
      <c r="K313" t="str">
        <f t="shared" si="9"/>
        <v>MEDIUM</v>
      </c>
      <c r="L313" t="s">
        <v>26</v>
      </c>
    </row>
    <row r="314" spans="1:12" x14ac:dyDescent="0.25">
      <c r="A314" t="s">
        <v>1241</v>
      </c>
      <c r="B314" t="s">
        <v>789</v>
      </c>
      <c r="C314" t="s">
        <v>229</v>
      </c>
      <c r="D314" t="s">
        <v>843</v>
      </c>
      <c r="E314" t="s">
        <v>29</v>
      </c>
      <c r="F314" s="9">
        <v>84</v>
      </c>
      <c r="G314" s="9">
        <v>3</v>
      </c>
      <c r="H314" s="9">
        <v>81</v>
      </c>
      <c r="I314" s="9">
        <v>205</v>
      </c>
      <c r="J314" s="9">
        <v>124</v>
      </c>
      <c r="K314" t="str">
        <f t="shared" si="9"/>
        <v>MEDIUM</v>
      </c>
      <c r="L314" t="s">
        <v>26</v>
      </c>
    </row>
    <row r="315" spans="1:12" x14ac:dyDescent="0.25">
      <c r="A315" t="s">
        <v>1230</v>
      </c>
      <c r="B315" t="s">
        <v>789</v>
      </c>
      <c r="C315" t="s">
        <v>229</v>
      </c>
      <c r="D315" t="s">
        <v>830</v>
      </c>
      <c r="E315" t="s">
        <v>35</v>
      </c>
      <c r="F315" s="9">
        <v>184</v>
      </c>
      <c r="G315" s="9">
        <v>1</v>
      </c>
      <c r="H315" s="9">
        <v>183</v>
      </c>
      <c r="I315" s="9">
        <v>306</v>
      </c>
      <c r="J315" s="9">
        <v>123</v>
      </c>
      <c r="K315" t="str">
        <f t="shared" si="9"/>
        <v>MEDIUM</v>
      </c>
      <c r="L315" t="s">
        <v>26</v>
      </c>
    </row>
    <row r="316" spans="1:12" x14ac:dyDescent="0.25">
      <c r="A316" t="s">
        <v>433</v>
      </c>
      <c r="B316" t="s">
        <v>18</v>
      </c>
      <c r="C316" t="s">
        <v>434</v>
      </c>
      <c r="D316" t="s">
        <v>21</v>
      </c>
      <c r="E316" t="s">
        <v>35</v>
      </c>
      <c r="F316" s="9">
        <v>167</v>
      </c>
      <c r="G316" s="9">
        <v>3</v>
      </c>
      <c r="H316" s="9">
        <v>164</v>
      </c>
      <c r="I316" s="9">
        <v>286</v>
      </c>
      <c r="J316" s="9">
        <v>122</v>
      </c>
      <c r="K316" t="str">
        <f t="shared" si="9"/>
        <v>MEDIUM</v>
      </c>
      <c r="L316" t="s">
        <v>26</v>
      </c>
    </row>
    <row r="317" spans="1:12" x14ac:dyDescent="0.25">
      <c r="A317" t="s">
        <v>1184</v>
      </c>
      <c r="B317" t="s">
        <v>789</v>
      </c>
      <c r="C317" t="s">
        <v>229</v>
      </c>
      <c r="D317" t="s">
        <v>171</v>
      </c>
      <c r="E317" t="s">
        <v>62</v>
      </c>
      <c r="F317" s="9">
        <v>83</v>
      </c>
      <c r="G317" s="9">
        <v>44</v>
      </c>
      <c r="H317" s="9">
        <v>39</v>
      </c>
      <c r="I317" s="9">
        <v>160</v>
      </c>
      <c r="J317" s="9">
        <v>121</v>
      </c>
      <c r="K317" t="str">
        <f t="shared" si="9"/>
        <v>MEDIUM</v>
      </c>
      <c r="L317" t="s">
        <v>26</v>
      </c>
    </row>
    <row r="318" spans="1:12" x14ac:dyDescent="0.25">
      <c r="A318" t="s">
        <v>121</v>
      </c>
      <c r="B318" t="s">
        <v>18</v>
      </c>
      <c r="C318" t="s">
        <v>20</v>
      </c>
      <c r="D318" t="s">
        <v>122</v>
      </c>
      <c r="E318" t="s">
        <v>83</v>
      </c>
      <c r="F318" s="9">
        <v>124</v>
      </c>
      <c r="G318" s="9">
        <v>35</v>
      </c>
      <c r="H318" s="9">
        <v>89</v>
      </c>
      <c r="I318" s="9">
        <v>209</v>
      </c>
      <c r="J318" s="9">
        <v>120</v>
      </c>
      <c r="K318" t="str">
        <f t="shared" si="9"/>
        <v>MEDIUM</v>
      </c>
      <c r="L318" t="s">
        <v>26</v>
      </c>
    </row>
    <row r="319" spans="1:12" x14ac:dyDescent="0.25">
      <c r="A319" t="s">
        <v>228</v>
      </c>
      <c r="B319" t="s">
        <v>18</v>
      </c>
      <c r="C319" t="s">
        <v>229</v>
      </c>
      <c r="D319" t="s">
        <v>21</v>
      </c>
      <c r="E319" t="s">
        <v>62</v>
      </c>
      <c r="F319" s="9">
        <v>87</v>
      </c>
      <c r="G319" s="9">
        <v>37</v>
      </c>
      <c r="H319" s="9">
        <v>50</v>
      </c>
      <c r="I319" s="9">
        <v>170</v>
      </c>
      <c r="J319" s="9">
        <v>120</v>
      </c>
      <c r="K319" t="str">
        <f t="shared" si="9"/>
        <v>MEDIUM</v>
      </c>
      <c r="L319" t="s">
        <v>26</v>
      </c>
    </row>
    <row r="320" spans="1:12" x14ac:dyDescent="0.25">
      <c r="A320" t="s">
        <v>1319</v>
      </c>
      <c r="B320" t="s">
        <v>789</v>
      </c>
      <c r="C320" t="s">
        <v>434</v>
      </c>
      <c r="D320" t="s">
        <v>122</v>
      </c>
      <c r="E320" t="s">
        <v>83</v>
      </c>
      <c r="F320" s="9">
        <v>129</v>
      </c>
      <c r="G320" s="9">
        <v>40</v>
      </c>
      <c r="H320" s="9">
        <v>89</v>
      </c>
      <c r="I320" s="9">
        <v>209</v>
      </c>
      <c r="J320" s="9">
        <v>120</v>
      </c>
      <c r="K320" t="str">
        <f t="shared" si="9"/>
        <v>MEDIUM</v>
      </c>
      <c r="L320" t="s">
        <v>26</v>
      </c>
    </row>
    <row r="321" spans="1:12" x14ac:dyDescent="0.25">
      <c r="A321" t="s">
        <v>491</v>
      </c>
      <c r="B321" t="s">
        <v>18</v>
      </c>
      <c r="C321" t="s">
        <v>434</v>
      </c>
      <c r="D321" t="s">
        <v>122</v>
      </c>
      <c r="E321" t="s">
        <v>83</v>
      </c>
      <c r="F321" s="9">
        <v>72</v>
      </c>
      <c r="G321" s="9">
        <v>78</v>
      </c>
      <c r="H321" s="9">
        <v>0</v>
      </c>
      <c r="I321" s="9">
        <v>119</v>
      </c>
      <c r="J321" s="9">
        <v>119</v>
      </c>
      <c r="K321" t="str">
        <f t="shared" si="9"/>
        <v>CRITICAL</v>
      </c>
      <c r="L321" t="s">
        <v>48</v>
      </c>
    </row>
    <row r="322" spans="1:12" x14ac:dyDescent="0.25">
      <c r="A322" t="s">
        <v>855</v>
      </c>
      <c r="B322" t="s">
        <v>789</v>
      </c>
      <c r="C322" t="s">
        <v>20</v>
      </c>
      <c r="D322" t="s">
        <v>21</v>
      </c>
      <c r="E322" t="s">
        <v>62</v>
      </c>
      <c r="F322" s="9">
        <v>136</v>
      </c>
      <c r="G322" s="9">
        <v>83</v>
      </c>
      <c r="H322" s="9">
        <v>53</v>
      </c>
      <c r="I322" s="9">
        <v>172</v>
      </c>
      <c r="J322" s="9">
        <v>119</v>
      </c>
      <c r="K322" t="str">
        <f t="shared" si="9"/>
        <v>MEDIUM</v>
      </c>
      <c r="L322" t="s">
        <v>26</v>
      </c>
    </row>
    <row r="323" spans="1:12" x14ac:dyDescent="0.25">
      <c r="A323" t="s">
        <v>228</v>
      </c>
      <c r="B323" t="s">
        <v>18</v>
      </c>
      <c r="C323" t="s">
        <v>229</v>
      </c>
      <c r="D323" t="s">
        <v>21</v>
      </c>
      <c r="E323" t="s">
        <v>83</v>
      </c>
      <c r="F323" s="9">
        <v>120</v>
      </c>
      <c r="G323" s="9">
        <v>52</v>
      </c>
      <c r="H323" s="9">
        <v>68</v>
      </c>
      <c r="I323" s="9">
        <v>186</v>
      </c>
      <c r="J323" s="9">
        <v>118</v>
      </c>
      <c r="K323" t="str">
        <f t="shared" si="9"/>
        <v>MEDIUM</v>
      </c>
      <c r="L323" t="s">
        <v>26</v>
      </c>
    </row>
    <row r="324" spans="1:12" x14ac:dyDescent="0.25">
      <c r="A324" t="s">
        <v>370</v>
      </c>
      <c r="B324" t="s">
        <v>18</v>
      </c>
      <c r="C324" t="s">
        <v>229</v>
      </c>
      <c r="D324" t="s">
        <v>171</v>
      </c>
      <c r="E324" t="s">
        <v>83</v>
      </c>
      <c r="F324" s="9">
        <v>147</v>
      </c>
      <c r="G324" s="9">
        <v>59</v>
      </c>
      <c r="H324" s="9">
        <v>88</v>
      </c>
      <c r="I324" s="9">
        <v>206</v>
      </c>
      <c r="J324" s="9">
        <v>118</v>
      </c>
      <c r="K324" t="str">
        <f t="shared" si="9"/>
        <v>MEDIUM</v>
      </c>
      <c r="L324" t="s">
        <v>26</v>
      </c>
    </row>
    <row r="325" spans="1:12" x14ac:dyDescent="0.25">
      <c r="A325" t="s">
        <v>921</v>
      </c>
      <c r="B325" t="s">
        <v>789</v>
      </c>
      <c r="C325" t="s">
        <v>20</v>
      </c>
      <c r="D325" t="s">
        <v>122</v>
      </c>
      <c r="E325" t="s">
        <v>83</v>
      </c>
      <c r="F325" s="9">
        <v>122</v>
      </c>
      <c r="G325" s="9">
        <v>61</v>
      </c>
      <c r="H325" s="9">
        <v>61</v>
      </c>
      <c r="I325" s="9">
        <v>179</v>
      </c>
      <c r="J325" s="9">
        <v>118</v>
      </c>
      <c r="K325" t="str">
        <f t="shared" si="9"/>
        <v>MEDIUM</v>
      </c>
      <c r="L325" t="s">
        <v>26</v>
      </c>
    </row>
    <row r="326" spans="1:12" x14ac:dyDescent="0.25">
      <c r="A326" t="s">
        <v>1378</v>
      </c>
      <c r="B326" t="s">
        <v>789</v>
      </c>
      <c r="C326" t="s">
        <v>434</v>
      </c>
      <c r="D326" t="s">
        <v>804</v>
      </c>
      <c r="E326" t="s">
        <v>35</v>
      </c>
      <c r="F326" s="9">
        <v>99</v>
      </c>
      <c r="G326" s="9">
        <v>9</v>
      </c>
      <c r="H326" s="9">
        <v>90</v>
      </c>
      <c r="I326" s="9">
        <v>207</v>
      </c>
      <c r="J326" s="9">
        <v>117</v>
      </c>
      <c r="K326" t="str">
        <f t="shared" si="9"/>
        <v>MEDIUM</v>
      </c>
      <c r="L326" t="s">
        <v>26</v>
      </c>
    </row>
    <row r="327" spans="1:12" x14ac:dyDescent="0.25">
      <c r="A327" t="s">
        <v>1319</v>
      </c>
      <c r="B327" t="s">
        <v>789</v>
      </c>
      <c r="C327" t="s">
        <v>434</v>
      </c>
      <c r="D327" t="s">
        <v>122</v>
      </c>
      <c r="E327" t="s">
        <v>83</v>
      </c>
      <c r="F327" s="9">
        <v>81</v>
      </c>
      <c r="G327" s="9">
        <v>82</v>
      </c>
      <c r="H327" s="9">
        <v>0</v>
      </c>
      <c r="I327" s="9">
        <v>116</v>
      </c>
      <c r="J327" s="9">
        <v>116</v>
      </c>
      <c r="K327" t="str">
        <f t="shared" si="9"/>
        <v>CRITICAL</v>
      </c>
      <c r="L327" t="s">
        <v>48</v>
      </c>
    </row>
    <row r="328" spans="1:12" x14ac:dyDescent="0.25">
      <c r="A328" t="s">
        <v>675</v>
      </c>
      <c r="B328" t="s">
        <v>18</v>
      </c>
      <c r="C328" t="s">
        <v>601</v>
      </c>
      <c r="D328" t="s">
        <v>122</v>
      </c>
      <c r="E328" t="s">
        <v>83</v>
      </c>
      <c r="F328" s="9">
        <v>135</v>
      </c>
      <c r="G328" s="9">
        <v>3</v>
      </c>
      <c r="H328" s="9">
        <v>132</v>
      </c>
      <c r="I328" s="9">
        <v>247</v>
      </c>
      <c r="J328" s="9">
        <v>115</v>
      </c>
      <c r="K328" t="str">
        <f t="shared" si="9"/>
        <v>MEDIUM</v>
      </c>
      <c r="L328" t="s">
        <v>26</v>
      </c>
    </row>
    <row r="329" spans="1:12" x14ac:dyDescent="0.25">
      <c r="A329" t="s">
        <v>1253</v>
      </c>
      <c r="B329" t="s">
        <v>789</v>
      </c>
      <c r="C329" t="s">
        <v>434</v>
      </c>
      <c r="D329" t="s">
        <v>21</v>
      </c>
      <c r="E329" t="s">
        <v>62</v>
      </c>
      <c r="F329" s="9">
        <v>152</v>
      </c>
      <c r="G329" s="9">
        <v>94</v>
      </c>
      <c r="H329" s="9">
        <v>58</v>
      </c>
      <c r="I329" s="9">
        <v>173</v>
      </c>
      <c r="J329" s="9">
        <v>115</v>
      </c>
      <c r="K329" t="str">
        <f t="shared" si="9"/>
        <v>MEDIUM</v>
      </c>
      <c r="L329" t="s">
        <v>26</v>
      </c>
    </row>
    <row r="330" spans="1:12" x14ac:dyDescent="0.25">
      <c r="A330" t="s">
        <v>554</v>
      </c>
      <c r="B330" t="s">
        <v>18</v>
      </c>
      <c r="C330" t="s">
        <v>434</v>
      </c>
      <c r="D330" t="s">
        <v>171</v>
      </c>
      <c r="E330" t="s">
        <v>35</v>
      </c>
      <c r="F330" s="9">
        <v>81</v>
      </c>
      <c r="G330" s="9">
        <v>80</v>
      </c>
      <c r="H330" s="9">
        <v>1</v>
      </c>
      <c r="I330" s="9">
        <v>115</v>
      </c>
      <c r="J330" s="9">
        <v>114</v>
      </c>
      <c r="K330" t="str">
        <f t="shared" si="9"/>
        <v>MEDIUM</v>
      </c>
      <c r="L330" t="s">
        <v>26</v>
      </c>
    </row>
    <row r="331" spans="1:12" x14ac:dyDescent="0.25">
      <c r="A331" t="s">
        <v>675</v>
      </c>
      <c r="B331" t="s">
        <v>18</v>
      </c>
      <c r="C331" t="s">
        <v>601</v>
      </c>
      <c r="D331" t="s">
        <v>122</v>
      </c>
      <c r="E331" t="s">
        <v>35</v>
      </c>
      <c r="F331" s="9">
        <v>156</v>
      </c>
      <c r="G331" s="9">
        <v>60</v>
      </c>
      <c r="H331" s="9">
        <v>96</v>
      </c>
      <c r="I331" s="9">
        <v>210</v>
      </c>
      <c r="J331" s="9">
        <v>114</v>
      </c>
      <c r="K331" t="str">
        <f t="shared" si="9"/>
        <v>MEDIUM</v>
      </c>
      <c r="L331" t="s">
        <v>48</v>
      </c>
    </row>
    <row r="332" spans="1:12" x14ac:dyDescent="0.25">
      <c r="A332" t="s">
        <v>981</v>
      </c>
      <c r="B332" t="s">
        <v>789</v>
      </c>
      <c r="C332" t="s">
        <v>20</v>
      </c>
      <c r="D332" t="s">
        <v>817</v>
      </c>
      <c r="E332" t="s">
        <v>29</v>
      </c>
      <c r="F332" s="9">
        <v>176</v>
      </c>
      <c r="G332" s="9">
        <v>6</v>
      </c>
      <c r="H332" s="9">
        <v>170</v>
      </c>
      <c r="I332" s="9">
        <v>284</v>
      </c>
      <c r="J332" s="9">
        <v>114</v>
      </c>
      <c r="K332" t="str">
        <f t="shared" si="9"/>
        <v>MEDIUM</v>
      </c>
      <c r="L332" t="s">
        <v>26</v>
      </c>
    </row>
    <row r="333" spans="1:12" x14ac:dyDescent="0.25">
      <c r="A333" t="s">
        <v>554</v>
      </c>
      <c r="B333" t="s">
        <v>18</v>
      </c>
      <c r="C333" t="s">
        <v>434</v>
      </c>
      <c r="D333" t="s">
        <v>171</v>
      </c>
      <c r="E333" t="s">
        <v>62</v>
      </c>
      <c r="F333" s="9">
        <v>123</v>
      </c>
      <c r="G333" s="9">
        <v>69</v>
      </c>
      <c r="H333" s="9">
        <v>54</v>
      </c>
      <c r="I333" s="9">
        <v>167</v>
      </c>
      <c r="J333" s="9">
        <v>113</v>
      </c>
      <c r="K333" t="str">
        <f t="shared" si="9"/>
        <v>MEDIUM</v>
      </c>
      <c r="L333" t="s">
        <v>48</v>
      </c>
    </row>
    <row r="334" spans="1:12" x14ac:dyDescent="0.25">
      <c r="A334" t="s">
        <v>855</v>
      </c>
      <c r="B334" t="s">
        <v>789</v>
      </c>
      <c r="C334" t="s">
        <v>20</v>
      </c>
      <c r="D334" t="s">
        <v>21</v>
      </c>
      <c r="E334" t="s">
        <v>83</v>
      </c>
      <c r="F334" s="9">
        <v>146</v>
      </c>
      <c r="G334" s="9">
        <v>80</v>
      </c>
      <c r="H334" s="9">
        <v>66</v>
      </c>
      <c r="I334" s="9">
        <v>179</v>
      </c>
      <c r="J334" s="9">
        <v>113</v>
      </c>
      <c r="K334" t="str">
        <f t="shared" si="9"/>
        <v>MEDIUM</v>
      </c>
      <c r="L334" t="s">
        <v>26</v>
      </c>
    </row>
    <row r="335" spans="1:12" x14ac:dyDescent="0.25">
      <c r="A335" t="s">
        <v>973</v>
      </c>
      <c r="B335" t="s">
        <v>789</v>
      </c>
      <c r="C335" t="s">
        <v>20</v>
      </c>
      <c r="D335" t="s">
        <v>804</v>
      </c>
      <c r="E335" t="s">
        <v>62</v>
      </c>
      <c r="F335" s="9">
        <v>172</v>
      </c>
      <c r="G335" s="9">
        <v>7</v>
      </c>
      <c r="H335" s="9">
        <v>165</v>
      </c>
      <c r="I335" s="9">
        <v>277</v>
      </c>
      <c r="J335" s="9">
        <v>112</v>
      </c>
      <c r="K335" t="str">
        <f t="shared" si="9"/>
        <v>MEDIUM</v>
      </c>
      <c r="L335" t="s">
        <v>26</v>
      </c>
    </row>
    <row r="336" spans="1:12" x14ac:dyDescent="0.25">
      <c r="A336" t="s">
        <v>1035</v>
      </c>
      <c r="B336" t="s">
        <v>789</v>
      </c>
      <c r="C336" t="s">
        <v>20</v>
      </c>
      <c r="D336" t="s">
        <v>830</v>
      </c>
      <c r="E336" t="s">
        <v>62</v>
      </c>
      <c r="F336" s="9">
        <v>93</v>
      </c>
      <c r="G336" s="9">
        <v>3</v>
      </c>
      <c r="H336" s="9">
        <v>90</v>
      </c>
      <c r="I336" s="9">
        <v>202</v>
      </c>
      <c r="J336" s="9">
        <v>112</v>
      </c>
      <c r="K336" t="str">
        <f t="shared" si="9"/>
        <v>MEDIUM</v>
      </c>
      <c r="L336" t="s">
        <v>26</v>
      </c>
    </row>
    <row r="337" spans="1:12" x14ac:dyDescent="0.25">
      <c r="A337" t="s">
        <v>855</v>
      </c>
      <c r="B337" t="s">
        <v>789</v>
      </c>
      <c r="C337" t="s">
        <v>20</v>
      </c>
      <c r="D337" t="s">
        <v>21</v>
      </c>
      <c r="E337" t="s">
        <v>35</v>
      </c>
      <c r="F337" s="9">
        <v>93</v>
      </c>
      <c r="G337" s="9">
        <v>44</v>
      </c>
      <c r="H337" s="9">
        <v>49</v>
      </c>
      <c r="I337" s="9">
        <v>160</v>
      </c>
      <c r="J337" s="9">
        <v>111</v>
      </c>
      <c r="K337" t="str">
        <f t="shared" si="9"/>
        <v>MEDIUM</v>
      </c>
      <c r="L337" t="s">
        <v>48</v>
      </c>
    </row>
    <row r="338" spans="1:12" x14ac:dyDescent="0.25">
      <c r="A338" t="s">
        <v>1103</v>
      </c>
      <c r="B338" t="s">
        <v>789</v>
      </c>
      <c r="C338" t="s">
        <v>229</v>
      </c>
      <c r="D338" t="s">
        <v>122</v>
      </c>
      <c r="E338" t="s">
        <v>83</v>
      </c>
      <c r="F338" s="9">
        <v>165</v>
      </c>
      <c r="G338" s="9">
        <v>62</v>
      </c>
      <c r="H338" s="9">
        <v>103</v>
      </c>
      <c r="I338" s="9">
        <v>213</v>
      </c>
      <c r="J338" s="9">
        <v>110</v>
      </c>
      <c r="K338" t="str">
        <f t="shared" si="9"/>
        <v>MEDIUM</v>
      </c>
      <c r="L338" t="s">
        <v>48</v>
      </c>
    </row>
    <row r="339" spans="1:12" x14ac:dyDescent="0.25">
      <c r="A339" t="s">
        <v>305</v>
      </c>
      <c r="B339" t="s">
        <v>18</v>
      </c>
      <c r="C339" t="s">
        <v>229</v>
      </c>
      <c r="D339" t="s">
        <v>122</v>
      </c>
      <c r="E339" t="s">
        <v>83</v>
      </c>
      <c r="F339" s="9">
        <v>107</v>
      </c>
      <c r="G339" s="9">
        <v>41</v>
      </c>
      <c r="H339" s="9">
        <v>66</v>
      </c>
      <c r="I339" s="9">
        <v>175</v>
      </c>
      <c r="J339" s="9">
        <v>109</v>
      </c>
      <c r="K339" t="str">
        <f t="shared" si="9"/>
        <v>MEDIUM</v>
      </c>
      <c r="L339" t="s">
        <v>26</v>
      </c>
    </row>
    <row r="340" spans="1:12" x14ac:dyDescent="0.25">
      <c r="A340" t="s">
        <v>842</v>
      </c>
      <c r="B340" t="s">
        <v>789</v>
      </c>
      <c r="C340" t="s">
        <v>601</v>
      </c>
      <c r="D340" t="s">
        <v>843</v>
      </c>
      <c r="E340" t="s">
        <v>62</v>
      </c>
      <c r="F340" s="9">
        <v>164</v>
      </c>
      <c r="G340" s="9">
        <v>6</v>
      </c>
      <c r="H340" s="9">
        <v>158</v>
      </c>
      <c r="I340" s="9">
        <v>265</v>
      </c>
      <c r="J340" s="9">
        <v>107</v>
      </c>
      <c r="K340" t="str">
        <f t="shared" si="9"/>
        <v>MEDIUM</v>
      </c>
      <c r="L340" t="s">
        <v>26</v>
      </c>
    </row>
    <row r="341" spans="1:12" x14ac:dyDescent="0.25">
      <c r="A341" t="s">
        <v>855</v>
      </c>
      <c r="B341" t="s">
        <v>789</v>
      </c>
      <c r="C341" t="s">
        <v>20</v>
      </c>
      <c r="D341" t="s">
        <v>21</v>
      </c>
      <c r="E341" t="s">
        <v>35</v>
      </c>
      <c r="F341" s="9">
        <v>182</v>
      </c>
      <c r="G341" s="9">
        <v>88</v>
      </c>
      <c r="H341" s="9">
        <v>94</v>
      </c>
      <c r="I341" s="9">
        <v>201</v>
      </c>
      <c r="J341" s="9">
        <v>107</v>
      </c>
      <c r="K341" t="str">
        <f t="shared" si="9"/>
        <v>MEDIUM</v>
      </c>
      <c r="L341" t="s">
        <v>26</v>
      </c>
    </row>
    <row r="342" spans="1:12" x14ac:dyDescent="0.25">
      <c r="A342" t="s">
        <v>921</v>
      </c>
      <c r="B342" t="s">
        <v>789</v>
      </c>
      <c r="C342" t="s">
        <v>20</v>
      </c>
      <c r="D342" t="s">
        <v>122</v>
      </c>
      <c r="E342" t="s">
        <v>62</v>
      </c>
      <c r="F342" s="9">
        <v>152</v>
      </c>
      <c r="G342" s="9">
        <v>14</v>
      </c>
      <c r="H342" s="9">
        <v>138</v>
      </c>
      <c r="I342" s="9">
        <v>245</v>
      </c>
      <c r="J342" s="9">
        <v>107</v>
      </c>
      <c r="K342" t="str">
        <f t="shared" si="9"/>
        <v>MEDIUM</v>
      </c>
      <c r="L342" t="s">
        <v>48</v>
      </c>
    </row>
    <row r="343" spans="1:12" x14ac:dyDescent="0.25">
      <c r="A343" t="s">
        <v>1500</v>
      </c>
      <c r="B343" t="s">
        <v>789</v>
      </c>
      <c r="C343" t="s">
        <v>601</v>
      </c>
      <c r="D343" t="s">
        <v>122</v>
      </c>
      <c r="E343" t="s">
        <v>62</v>
      </c>
      <c r="F343" s="9">
        <v>154</v>
      </c>
      <c r="G343" s="9">
        <v>51</v>
      </c>
      <c r="H343" s="9">
        <v>103</v>
      </c>
      <c r="I343" s="9">
        <v>210</v>
      </c>
      <c r="J343" s="9">
        <v>107</v>
      </c>
      <c r="K343" t="str">
        <f t="shared" si="9"/>
        <v>MEDIUM</v>
      </c>
      <c r="L343" t="s">
        <v>26</v>
      </c>
    </row>
    <row r="344" spans="1:12" x14ac:dyDescent="0.25">
      <c r="A344" t="s">
        <v>433</v>
      </c>
      <c r="B344" t="s">
        <v>18</v>
      </c>
      <c r="C344" t="s">
        <v>434</v>
      </c>
      <c r="D344" t="s">
        <v>21</v>
      </c>
      <c r="E344" t="s">
        <v>62</v>
      </c>
      <c r="F344" s="9">
        <v>92</v>
      </c>
      <c r="G344" s="9">
        <v>68</v>
      </c>
      <c r="H344" s="9">
        <v>24</v>
      </c>
      <c r="I344" s="9">
        <v>130</v>
      </c>
      <c r="J344" s="9">
        <v>106</v>
      </c>
      <c r="K344" t="str">
        <f t="shared" si="9"/>
        <v>MEDIUM</v>
      </c>
      <c r="L344" t="s">
        <v>26</v>
      </c>
    </row>
    <row r="345" spans="1:12" x14ac:dyDescent="0.25">
      <c r="A345" t="s">
        <v>855</v>
      </c>
      <c r="B345" t="s">
        <v>789</v>
      </c>
      <c r="C345" t="s">
        <v>20</v>
      </c>
      <c r="D345" t="s">
        <v>21</v>
      </c>
      <c r="E345" t="s">
        <v>83</v>
      </c>
      <c r="F345" s="9">
        <v>107</v>
      </c>
      <c r="G345" s="9">
        <v>86</v>
      </c>
      <c r="H345" s="9">
        <v>21</v>
      </c>
      <c r="I345" s="9">
        <v>127</v>
      </c>
      <c r="J345" s="9">
        <v>106</v>
      </c>
      <c r="K345" t="str">
        <f t="shared" si="9"/>
        <v>MEDIUM</v>
      </c>
      <c r="L345" t="s">
        <v>26</v>
      </c>
    </row>
    <row r="346" spans="1:12" x14ac:dyDescent="0.25">
      <c r="A346" t="s">
        <v>600</v>
      </c>
      <c r="B346" t="s">
        <v>18</v>
      </c>
      <c r="C346" t="s">
        <v>601</v>
      </c>
      <c r="D346" t="s">
        <v>21</v>
      </c>
      <c r="E346" t="s">
        <v>83</v>
      </c>
      <c r="F346" s="9">
        <v>126</v>
      </c>
      <c r="G346" s="9">
        <v>45</v>
      </c>
      <c r="H346" s="9">
        <v>81</v>
      </c>
      <c r="I346" s="9">
        <v>186</v>
      </c>
      <c r="J346" s="9">
        <v>105</v>
      </c>
      <c r="K346" t="str">
        <f t="shared" si="9"/>
        <v>MEDIUM</v>
      </c>
      <c r="L346" t="s">
        <v>26</v>
      </c>
    </row>
    <row r="347" spans="1:12" x14ac:dyDescent="0.25">
      <c r="A347" t="s">
        <v>675</v>
      </c>
      <c r="B347" t="s">
        <v>18</v>
      </c>
      <c r="C347" t="s">
        <v>601</v>
      </c>
      <c r="D347" t="s">
        <v>122</v>
      </c>
      <c r="E347" t="s">
        <v>62</v>
      </c>
      <c r="F347" s="9">
        <v>79</v>
      </c>
      <c r="G347" s="9">
        <v>37</v>
      </c>
      <c r="H347" s="9">
        <v>42</v>
      </c>
      <c r="I347" s="9">
        <v>147</v>
      </c>
      <c r="J347" s="9">
        <v>105</v>
      </c>
      <c r="K347" t="str">
        <f t="shared" si="9"/>
        <v>MEDIUM</v>
      </c>
      <c r="L347" t="s">
        <v>48</v>
      </c>
    </row>
    <row r="348" spans="1:12" x14ac:dyDescent="0.25">
      <c r="A348" t="s">
        <v>855</v>
      </c>
      <c r="B348" t="s">
        <v>789</v>
      </c>
      <c r="C348" t="s">
        <v>20</v>
      </c>
      <c r="D348" t="s">
        <v>21</v>
      </c>
      <c r="E348" t="s">
        <v>83</v>
      </c>
      <c r="F348" s="9">
        <v>177</v>
      </c>
      <c r="G348" s="9">
        <v>54</v>
      </c>
      <c r="H348" s="9">
        <v>123</v>
      </c>
      <c r="I348" s="9">
        <v>228</v>
      </c>
      <c r="J348" s="9">
        <v>105</v>
      </c>
      <c r="K348" t="str">
        <f t="shared" si="9"/>
        <v>MEDIUM</v>
      </c>
      <c r="L348" t="s">
        <v>26</v>
      </c>
    </row>
    <row r="349" spans="1:12" x14ac:dyDescent="0.25">
      <c r="A349" t="s">
        <v>1319</v>
      </c>
      <c r="B349" t="s">
        <v>789</v>
      </c>
      <c r="C349" t="s">
        <v>434</v>
      </c>
      <c r="D349" t="s">
        <v>122</v>
      </c>
      <c r="E349" t="s">
        <v>83</v>
      </c>
      <c r="F349" s="9">
        <v>165</v>
      </c>
      <c r="G349" s="9">
        <v>64</v>
      </c>
      <c r="H349" s="9">
        <v>101</v>
      </c>
      <c r="I349" s="9">
        <v>205</v>
      </c>
      <c r="J349" s="9">
        <v>104</v>
      </c>
      <c r="K349" t="str">
        <f t="shared" si="9"/>
        <v>MEDIUM</v>
      </c>
      <c r="L349" t="s">
        <v>26</v>
      </c>
    </row>
    <row r="350" spans="1:12" x14ac:dyDescent="0.25">
      <c r="A350" t="s">
        <v>1184</v>
      </c>
      <c r="B350" t="s">
        <v>789</v>
      </c>
      <c r="C350" t="s">
        <v>229</v>
      </c>
      <c r="D350" t="s">
        <v>171</v>
      </c>
      <c r="E350" t="s">
        <v>35</v>
      </c>
      <c r="F350" s="9">
        <v>151</v>
      </c>
      <c r="G350" s="9">
        <v>16</v>
      </c>
      <c r="H350" s="9">
        <v>135</v>
      </c>
      <c r="I350" s="9">
        <v>238</v>
      </c>
      <c r="J350" s="9">
        <v>103</v>
      </c>
      <c r="K350" t="str">
        <f t="shared" si="9"/>
        <v>MEDIUM</v>
      </c>
      <c r="L350" t="s">
        <v>26</v>
      </c>
    </row>
    <row r="351" spans="1:12" x14ac:dyDescent="0.25">
      <c r="A351" t="s">
        <v>1500</v>
      </c>
      <c r="B351" t="s">
        <v>789</v>
      </c>
      <c r="C351" t="s">
        <v>601</v>
      </c>
      <c r="D351" t="s">
        <v>122</v>
      </c>
      <c r="E351" t="s">
        <v>83</v>
      </c>
      <c r="F351" s="9">
        <v>107</v>
      </c>
      <c r="G351" s="9">
        <v>65</v>
      </c>
      <c r="H351" s="9">
        <v>42</v>
      </c>
      <c r="I351" s="9">
        <v>145</v>
      </c>
      <c r="J351" s="9">
        <v>103</v>
      </c>
      <c r="K351" t="str">
        <f t="shared" si="9"/>
        <v>MEDIUM</v>
      </c>
      <c r="L351" t="s">
        <v>26</v>
      </c>
    </row>
    <row r="352" spans="1:12" x14ac:dyDescent="0.25">
      <c r="A352" t="s">
        <v>961</v>
      </c>
      <c r="B352" t="s">
        <v>789</v>
      </c>
      <c r="C352" t="s">
        <v>20</v>
      </c>
      <c r="D352" t="s">
        <v>790</v>
      </c>
      <c r="E352" t="s">
        <v>29</v>
      </c>
      <c r="F352" s="9">
        <v>176</v>
      </c>
      <c r="G352" s="9">
        <v>4</v>
      </c>
      <c r="H352" s="9">
        <v>172</v>
      </c>
      <c r="I352" s="9">
        <v>274</v>
      </c>
      <c r="J352" s="9">
        <v>102</v>
      </c>
      <c r="K352" t="str">
        <f t="shared" si="9"/>
        <v>MEDIUM</v>
      </c>
      <c r="L352" t="s">
        <v>26</v>
      </c>
    </row>
    <row r="353" spans="1:12" x14ac:dyDescent="0.25">
      <c r="A353" t="s">
        <v>1103</v>
      </c>
      <c r="B353" t="s">
        <v>789</v>
      </c>
      <c r="C353" t="s">
        <v>229</v>
      </c>
      <c r="D353" t="s">
        <v>122</v>
      </c>
      <c r="E353" t="s">
        <v>35</v>
      </c>
      <c r="F353" s="9">
        <v>122</v>
      </c>
      <c r="G353" s="9">
        <v>37</v>
      </c>
      <c r="H353" s="9">
        <v>85</v>
      </c>
      <c r="I353" s="9">
        <v>187</v>
      </c>
      <c r="J353" s="9">
        <v>102</v>
      </c>
      <c r="K353" t="str">
        <f t="shared" ref="K353:K416" si="10">IF(H353=0,"CRITICAL",IF(J353&gt;200,"HIGH","MEDIUM"))</f>
        <v>MEDIUM</v>
      </c>
      <c r="L353" t="s">
        <v>26</v>
      </c>
    </row>
    <row r="354" spans="1:12" x14ac:dyDescent="0.25">
      <c r="A354" t="s">
        <v>1319</v>
      </c>
      <c r="B354" t="s">
        <v>789</v>
      </c>
      <c r="C354" t="s">
        <v>434</v>
      </c>
      <c r="D354" t="s">
        <v>122</v>
      </c>
      <c r="E354" t="s">
        <v>83</v>
      </c>
      <c r="F354" s="9">
        <v>137</v>
      </c>
      <c r="G354" s="9">
        <v>55</v>
      </c>
      <c r="H354" s="9">
        <v>82</v>
      </c>
      <c r="I354" s="9">
        <v>183</v>
      </c>
      <c r="J354" s="9">
        <v>101</v>
      </c>
      <c r="K354" t="str">
        <f t="shared" si="10"/>
        <v>MEDIUM</v>
      </c>
      <c r="L354" t="s">
        <v>26</v>
      </c>
    </row>
    <row r="355" spans="1:12" x14ac:dyDescent="0.25">
      <c r="A355" t="s">
        <v>675</v>
      </c>
      <c r="B355" t="s">
        <v>18</v>
      </c>
      <c r="C355" t="s">
        <v>601</v>
      </c>
      <c r="D355" t="s">
        <v>122</v>
      </c>
      <c r="E355" t="s">
        <v>35</v>
      </c>
      <c r="F355" s="9">
        <v>156</v>
      </c>
      <c r="G355" s="9">
        <v>42</v>
      </c>
      <c r="H355" s="9">
        <v>114</v>
      </c>
      <c r="I355" s="9">
        <v>214</v>
      </c>
      <c r="J355" s="9">
        <v>100</v>
      </c>
      <c r="K355" t="str">
        <f t="shared" si="10"/>
        <v>MEDIUM</v>
      </c>
      <c r="L355" t="s">
        <v>26</v>
      </c>
    </row>
    <row r="356" spans="1:12" x14ac:dyDescent="0.25">
      <c r="A356" t="s">
        <v>842</v>
      </c>
      <c r="B356" t="s">
        <v>789</v>
      </c>
      <c r="C356" t="s">
        <v>601</v>
      </c>
      <c r="D356" t="s">
        <v>843</v>
      </c>
      <c r="E356" t="s">
        <v>29</v>
      </c>
      <c r="F356" s="9">
        <v>176</v>
      </c>
      <c r="G356" s="9">
        <v>9</v>
      </c>
      <c r="H356" s="9">
        <v>167</v>
      </c>
      <c r="I356" s="9">
        <v>267</v>
      </c>
      <c r="J356" s="9">
        <v>100</v>
      </c>
      <c r="K356" t="str">
        <f t="shared" si="10"/>
        <v>MEDIUM</v>
      </c>
      <c r="L356" t="s">
        <v>26</v>
      </c>
    </row>
    <row r="357" spans="1:12" x14ac:dyDescent="0.25">
      <c r="A357" t="s">
        <v>1319</v>
      </c>
      <c r="B357" t="s">
        <v>789</v>
      </c>
      <c r="C357" t="s">
        <v>434</v>
      </c>
      <c r="D357" t="s">
        <v>122</v>
      </c>
      <c r="E357" t="s">
        <v>35</v>
      </c>
      <c r="F357" s="9">
        <v>113</v>
      </c>
      <c r="G357" s="9">
        <v>46</v>
      </c>
      <c r="H357" s="9">
        <v>67</v>
      </c>
      <c r="I357" s="9">
        <v>167</v>
      </c>
      <c r="J357" s="9">
        <v>100</v>
      </c>
      <c r="K357" t="str">
        <f t="shared" si="10"/>
        <v>MEDIUM</v>
      </c>
      <c r="L357" t="s">
        <v>48</v>
      </c>
    </row>
    <row r="358" spans="1:12" x14ac:dyDescent="0.25">
      <c r="A358" t="s">
        <v>491</v>
      </c>
      <c r="B358" t="s">
        <v>18</v>
      </c>
      <c r="C358" t="s">
        <v>434</v>
      </c>
      <c r="D358" t="s">
        <v>122</v>
      </c>
      <c r="E358" t="s">
        <v>83</v>
      </c>
      <c r="F358" s="9">
        <v>137</v>
      </c>
      <c r="G358" s="9">
        <v>67</v>
      </c>
      <c r="H358" s="9">
        <v>70</v>
      </c>
      <c r="I358" s="9">
        <v>168</v>
      </c>
      <c r="J358" s="9">
        <v>98</v>
      </c>
      <c r="K358" t="str">
        <f t="shared" si="10"/>
        <v>MEDIUM</v>
      </c>
      <c r="L358" t="s">
        <v>26</v>
      </c>
    </row>
    <row r="359" spans="1:12" x14ac:dyDescent="0.25">
      <c r="A359" t="s">
        <v>491</v>
      </c>
      <c r="B359" t="s">
        <v>18</v>
      </c>
      <c r="C359" t="s">
        <v>434</v>
      </c>
      <c r="D359" t="s">
        <v>122</v>
      </c>
      <c r="E359" t="s">
        <v>83</v>
      </c>
      <c r="F359" s="9">
        <v>109</v>
      </c>
      <c r="G359" s="9">
        <v>4</v>
      </c>
      <c r="H359" s="9">
        <v>105</v>
      </c>
      <c r="I359" s="9">
        <v>203</v>
      </c>
      <c r="J359" s="9">
        <v>98</v>
      </c>
      <c r="K359" t="str">
        <f t="shared" si="10"/>
        <v>MEDIUM</v>
      </c>
      <c r="L359" t="s">
        <v>26</v>
      </c>
    </row>
    <row r="360" spans="1:12" x14ac:dyDescent="0.25">
      <c r="A360" t="s">
        <v>170</v>
      </c>
      <c r="B360" t="s">
        <v>18</v>
      </c>
      <c r="C360" t="s">
        <v>20</v>
      </c>
      <c r="D360" t="s">
        <v>171</v>
      </c>
      <c r="E360" t="s">
        <v>35</v>
      </c>
      <c r="F360" s="9">
        <v>135</v>
      </c>
      <c r="G360" s="9">
        <v>17</v>
      </c>
      <c r="H360" s="9">
        <v>118</v>
      </c>
      <c r="I360" s="9">
        <v>215</v>
      </c>
      <c r="J360" s="9">
        <v>97</v>
      </c>
      <c r="K360" t="str">
        <f t="shared" si="10"/>
        <v>MEDIUM</v>
      </c>
      <c r="L360" t="s">
        <v>48</v>
      </c>
    </row>
    <row r="361" spans="1:12" x14ac:dyDescent="0.25">
      <c r="A361" t="s">
        <v>1555</v>
      </c>
      <c r="B361" t="s">
        <v>789</v>
      </c>
      <c r="C361" t="s">
        <v>601</v>
      </c>
      <c r="D361" t="s">
        <v>171</v>
      </c>
      <c r="E361" t="s">
        <v>35</v>
      </c>
      <c r="F361" s="9">
        <v>124</v>
      </c>
      <c r="G361" s="9">
        <v>10</v>
      </c>
      <c r="H361" s="9">
        <v>114</v>
      </c>
      <c r="I361" s="9">
        <v>211</v>
      </c>
      <c r="J361" s="9">
        <v>97</v>
      </c>
      <c r="K361" t="str">
        <f t="shared" si="10"/>
        <v>MEDIUM</v>
      </c>
      <c r="L361" t="s">
        <v>26</v>
      </c>
    </row>
    <row r="362" spans="1:12" x14ac:dyDescent="0.25">
      <c r="A362" t="s">
        <v>675</v>
      </c>
      <c r="B362" t="s">
        <v>18</v>
      </c>
      <c r="C362" t="s">
        <v>601</v>
      </c>
      <c r="D362" t="s">
        <v>122</v>
      </c>
      <c r="E362" t="s">
        <v>83</v>
      </c>
      <c r="F362" s="9">
        <v>139</v>
      </c>
      <c r="G362" s="9">
        <v>56</v>
      </c>
      <c r="H362" s="9">
        <v>83</v>
      </c>
      <c r="I362" s="9">
        <v>179</v>
      </c>
      <c r="J362" s="9">
        <v>96</v>
      </c>
      <c r="K362" t="str">
        <f t="shared" si="10"/>
        <v>MEDIUM</v>
      </c>
      <c r="L362" t="s">
        <v>26</v>
      </c>
    </row>
    <row r="363" spans="1:12" x14ac:dyDescent="0.25">
      <c r="A363" t="s">
        <v>1555</v>
      </c>
      <c r="B363" t="s">
        <v>789</v>
      </c>
      <c r="C363" t="s">
        <v>601</v>
      </c>
      <c r="D363" t="s">
        <v>171</v>
      </c>
      <c r="E363" t="s">
        <v>83</v>
      </c>
      <c r="F363" s="9">
        <v>169</v>
      </c>
      <c r="G363" s="9">
        <v>59</v>
      </c>
      <c r="H363" s="9">
        <v>110</v>
      </c>
      <c r="I363" s="9">
        <v>206</v>
      </c>
      <c r="J363" s="9">
        <v>96</v>
      </c>
      <c r="K363" t="str">
        <f t="shared" si="10"/>
        <v>MEDIUM</v>
      </c>
      <c r="L363" t="s">
        <v>26</v>
      </c>
    </row>
    <row r="364" spans="1:12" x14ac:dyDescent="0.25">
      <c r="A364" t="s">
        <v>17</v>
      </c>
      <c r="B364" t="s">
        <v>18</v>
      </c>
      <c r="C364" t="s">
        <v>20</v>
      </c>
      <c r="D364" t="s">
        <v>21</v>
      </c>
      <c r="E364" t="s">
        <v>62</v>
      </c>
      <c r="F364" s="9">
        <v>103</v>
      </c>
      <c r="G364" s="9">
        <v>63</v>
      </c>
      <c r="H364" s="9">
        <v>40</v>
      </c>
      <c r="I364" s="9">
        <v>134</v>
      </c>
      <c r="J364" s="9">
        <v>94</v>
      </c>
      <c r="K364" t="str">
        <f t="shared" si="10"/>
        <v>MEDIUM</v>
      </c>
      <c r="L364" t="s">
        <v>48</v>
      </c>
    </row>
    <row r="365" spans="1:12" x14ac:dyDescent="0.25">
      <c r="A365" t="s">
        <v>305</v>
      </c>
      <c r="B365" t="s">
        <v>18</v>
      </c>
      <c r="C365" t="s">
        <v>229</v>
      </c>
      <c r="D365" t="s">
        <v>122</v>
      </c>
      <c r="E365" t="s">
        <v>35</v>
      </c>
      <c r="F365" s="9">
        <v>97</v>
      </c>
      <c r="G365" s="9">
        <v>12</v>
      </c>
      <c r="H365" s="9">
        <v>85</v>
      </c>
      <c r="I365" s="9">
        <v>179</v>
      </c>
      <c r="J365" s="9">
        <v>94</v>
      </c>
      <c r="K365" t="str">
        <f t="shared" si="10"/>
        <v>MEDIUM</v>
      </c>
      <c r="L365" t="s">
        <v>26</v>
      </c>
    </row>
    <row r="366" spans="1:12" x14ac:dyDescent="0.25">
      <c r="A366" t="s">
        <v>370</v>
      </c>
      <c r="B366" t="s">
        <v>18</v>
      </c>
      <c r="C366" t="s">
        <v>229</v>
      </c>
      <c r="D366" t="s">
        <v>171</v>
      </c>
      <c r="E366" t="s">
        <v>62</v>
      </c>
      <c r="F366" s="9">
        <v>190</v>
      </c>
      <c r="G366" s="9">
        <v>8</v>
      </c>
      <c r="H366" s="9">
        <v>182</v>
      </c>
      <c r="I366" s="9">
        <v>276</v>
      </c>
      <c r="J366" s="9">
        <v>94</v>
      </c>
      <c r="K366" t="str">
        <f t="shared" si="10"/>
        <v>MEDIUM</v>
      </c>
      <c r="L366" t="s">
        <v>26</v>
      </c>
    </row>
    <row r="367" spans="1:12" x14ac:dyDescent="0.25">
      <c r="A367" t="s">
        <v>735</v>
      </c>
      <c r="B367" t="s">
        <v>18</v>
      </c>
      <c r="C367" t="s">
        <v>601</v>
      </c>
      <c r="D367" t="s">
        <v>171</v>
      </c>
      <c r="E367" t="s">
        <v>83</v>
      </c>
      <c r="F367" s="9">
        <v>100</v>
      </c>
      <c r="G367" s="9">
        <v>21</v>
      </c>
      <c r="H367" s="9">
        <v>79</v>
      </c>
      <c r="I367" s="9">
        <v>173</v>
      </c>
      <c r="J367" s="9">
        <v>94</v>
      </c>
      <c r="K367" t="str">
        <f t="shared" si="10"/>
        <v>MEDIUM</v>
      </c>
      <c r="L367" t="s">
        <v>26</v>
      </c>
    </row>
    <row r="368" spans="1:12" x14ac:dyDescent="0.25">
      <c r="A368" t="s">
        <v>2459</v>
      </c>
      <c r="B368" t="s">
        <v>2170</v>
      </c>
      <c r="C368" t="s">
        <v>2460</v>
      </c>
      <c r="D368" t="s">
        <v>21</v>
      </c>
      <c r="E368" t="s">
        <v>29</v>
      </c>
      <c r="F368" s="9">
        <v>342</v>
      </c>
      <c r="G368" s="9">
        <v>40</v>
      </c>
      <c r="H368" s="9">
        <v>302</v>
      </c>
      <c r="I368" s="9">
        <v>396</v>
      </c>
      <c r="J368" s="9">
        <v>94</v>
      </c>
      <c r="K368" t="str">
        <f t="shared" si="10"/>
        <v>MEDIUM</v>
      </c>
      <c r="L368" t="s">
        <v>26</v>
      </c>
    </row>
    <row r="369" spans="1:12" x14ac:dyDescent="0.25">
      <c r="A369" t="s">
        <v>121</v>
      </c>
      <c r="B369" t="s">
        <v>18</v>
      </c>
      <c r="C369" t="s">
        <v>20</v>
      </c>
      <c r="D369" t="s">
        <v>122</v>
      </c>
      <c r="E369" t="s">
        <v>35</v>
      </c>
      <c r="F369" s="9">
        <v>127</v>
      </c>
      <c r="G369" s="9">
        <v>71</v>
      </c>
      <c r="H369" s="9">
        <v>56</v>
      </c>
      <c r="I369" s="9">
        <v>149</v>
      </c>
      <c r="J369" s="9">
        <v>93</v>
      </c>
      <c r="K369" t="str">
        <f t="shared" si="10"/>
        <v>MEDIUM</v>
      </c>
      <c r="L369" t="s">
        <v>26</v>
      </c>
    </row>
    <row r="370" spans="1:12" x14ac:dyDescent="0.25">
      <c r="A370" t="s">
        <v>170</v>
      </c>
      <c r="B370" t="s">
        <v>18</v>
      </c>
      <c r="C370" t="s">
        <v>20</v>
      </c>
      <c r="D370" t="s">
        <v>171</v>
      </c>
      <c r="E370" t="s">
        <v>62</v>
      </c>
      <c r="F370" s="9">
        <v>135</v>
      </c>
      <c r="G370" s="9">
        <v>80</v>
      </c>
      <c r="H370" s="9">
        <v>55</v>
      </c>
      <c r="I370" s="9">
        <v>148</v>
      </c>
      <c r="J370" s="9">
        <v>93</v>
      </c>
      <c r="K370" t="str">
        <f t="shared" si="10"/>
        <v>MEDIUM</v>
      </c>
      <c r="L370" t="s">
        <v>48</v>
      </c>
    </row>
    <row r="371" spans="1:12" x14ac:dyDescent="0.25">
      <c r="A371" t="s">
        <v>921</v>
      </c>
      <c r="B371" t="s">
        <v>789</v>
      </c>
      <c r="C371" t="s">
        <v>20</v>
      </c>
      <c r="D371" t="s">
        <v>122</v>
      </c>
      <c r="E371" t="s">
        <v>62</v>
      </c>
      <c r="F371" s="9">
        <v>134</v>
      </c>
      <c r="G371" s="9">
        <v>42</v>
      </c>
      <c r="H371" s="9">
        <v>92</v>
      </c>
      <c r="I371" s="9">
        <v>184</v>
      </c>
      <c r="J371" s="9">
        <v>92</v>
      </c>
      <c r="K371" t="str">
        <f t="shared" si="10"/>
        <v>MEDIUM</v>
      </c>
      <c r="L371" t="s">
        <v>26</v>
      </c>
    </row>
    <row r="372" spans="1:12" x14ac:dyDescent="0.25">
      <c r="A372" t="s">
        <v>993</v>
      </c>
      <c r="B372" t="s">
        <v>789</v>
      </c>
      <c r="C372" t="s">
        <v>20</v>
      </c>
      <c r="D372" t="s">
        <v>171</v>
      </c>
      <c r="E372" t="s">
        <v>83</v>
      </c>
      <c r="F372" s="9">
        <v>101</v>
      </c>
      <c r="G372" s="9">
        <v>31</v>
      </c>
      <c r="H372" s="9">
        <v>70</v>
      </c>
      <c r="I372" s="9">
        <v>162</v>
      </c>
      <c r="J372" s="9">
        <v>92</v>
      </c>
      <c r="K372" t="str">
        <f t="shared" si="10"/>
        <v>MEDIUM</v>
      </c>
      <c r="L372" t="s">
        <v>26</v>
      </c>
    </row>
    <row r="373" spans="1:12" x14ac:dyDescent="0.25">
      <c r="A373" t="s">
        <v>1058</v>
      </c>
      <c r="B373" t="s">
        <v>789</v>
      </c>
      <c r="C373" t="s">
        <v>229</v>
      </c>
      <c r="D373" t="s">
        <v>21</v>
      </c>
      <c r="E373" t="s">
        <v>83</v>
      </c>
      <c r="F373" s="9">
        <v>80</v>
      </c>
      <c r="G373" s="9">
        <v>4</v>
      </c>
      <c r="H373" s="9">
        <v>76</v>
      </c>
      <c r="I373" s="9">
        <v>168</v>
      </c>
      <c r="J373" s="9">
        <v>92</v>
      </c>
      <c r="K373" t="str">
        <f t="shared" si="10"/>
        <v>MEDIUM</v>
      </c>
      <c r="L373" t="s">
        <v>26</v>
      </c>
    </row>
    <row r="374" spans="1:12" x14ac:dyDescent="0.25">
      <c r="A374" t="s">
        <v>17</v>
      </c>
      <c r="B374" t="s">
        <v>18</v>
      </c>
      <c r="C374" t="s">
        <v>20</v>
      </c>
      <c r="D374" t="s">
        <v>21</v>
      </c>
      <c r="E374" t="s">
        <v>83</v>
      </c>
      <c r="F374" s="9">
        <v>136</v>
      </c>
      <c r="G374" s="9">
        <v>38</v>
      </c>
      <c r="H374" s="9">
        <v>98</v>
      </c>
      <c r="I374" s="9">
        <v>189</v>
      </c>
      <c r="J374" s="9">
        <v>91</v>
      </c>
      <c r="K374" t="str">
        <f t="shared" si="10"/>
        <v>MEDIUM</v>
      </c>
      <c r="L374" t="s">
        <v>26</v>
      </c>
    </row>
    <row r="375" spans="1:12" x14ac:dyDescent="0.25">
      <c r="A375" t="s">
        <v>228</v>
      </c>
      <c r="B375" t="s">
        <v>18</v>
      </c>
      <c r="C375" t="s">
        <v>229</v>
      </c>
      <c r="D375" t="s">
        <v>21</v>
      </c>
      <c r="E375" t="s">
        <v>35</v>
      </c>
      <c r="F375" s="9">
        <v>151</v>
      </c>
      <c r="G375" s="9">
        <v>14</v>
      </c>
      <c r="H375" s="9">
        <v>137</v>
      </c>
      <c r="I375" s="9">
        <v>228</v>
      </c>
      <c r="J375" s="9">
        <v>91</v>
      </c>
      <c r="K375" t="str">
        <f t="shared" si="10"/>
        <v>MEDIUM</v>
      </c>
      <c r="L375" t="s">
        <v>26</v>
      </c>
    </row>
    <row r="376" spans="1:12" x14ac:dyDescent="0.25">
      <c r="A376" t="s">
        <v>305</v>
      </c>
      <c r="B376" t="s">
        <v>18</v>
      </c>
      <c r="C376" t="s">
        <v>229</v>
      </c>
      <c r="D376" t="s">
        <v>122</v>
      </c>
      <c r="E376" t="s">
        <v>62</v>
      </c>
      <c r="F376" s="9">
        <v>115</v>
      </c>
      <c r="G376" s="9">
        <v>28</v>
      </c>
      <c r="H376" s="9">
        <v>87</v>
      </c>
      <c r="I376" s="9">
        <v>178</v>
      </c>
      <c r="J376" s="9">
        <v>91</v>
      </c>
      <c r="K376" t="str">
        <f t="shared" si="10"/>
        <v>MEDIUM</v>
      </c>
      <c r="L376" t="s">
        <v>26</v>
      </c>
    </row>
    <row r="377" spans="1:12" x14ac:dyDescent="0.25">
      <c r="A377" t="s">
        <v>1103</v>
      </c>
      <c r="B377" t="s">
        <v>789</v>
      </c>
      <c r="C377" t="s">
        <v>229</v>
      </c>
      <c r="D377" t="s">
        <v>122</v>
      </c>
      <c r="E377" t="s">
        <v>83</v>
      </c>
      <c r="F377" s="9">
        <v>118</v>
      </c>
      <c r="G377" s="9">
        <v>53</v>
      </c>
      <c r="H377" s="9">
        <v>65</v>
      </c>
      <c r="I377" s="9">
        <v>156</v>
      </c>
      <c r="J377" s="9">
        <v>91</v>
      </c>
      <c r="K377" t="str">
        <f t="shared" si="10"/>
        <v>MEDIUM</v>
      </c>
      <c r="L377" t="s">
        <v>26</v>
      </c>
    </row>
    <row r="378" spans="1:12" x14ac:dyDescent="0.25">
      <c r="A378" t="s">
        <v>17</v>
      </c>
      <c r="B378" t="s">
        <v>18</v>
      </c>
      <c r="C378" t="s">
        <v>20</v>
      </c>
      <c r="D378" t="s">
        <v>21</v>
      </c>
      <c r="E378" t="s">
        <v>35</v>
      </c>
      <c r="F378" s="9">
        <v>181</v>
      </c>
      <c r="G378" s="9">
        <v>64</v>
      </c>
      <c r="H378" s="9">
        <v>117</v>
      </c>
      <c r="I378" s="9">
        <v>207</v>
      </c>
      <c r="J378" s="9">
        <v>90</v>
      </c>
      <c r="K378" t="str">
        <f t="shared" si="10"/>
        <v>MEDIUM</v>
      </c>
      <c r="L378" t="s">
        <v>48</v>
      </c>
    </row>
    <row r="379" spans="1:12" x14ac:dyDescent="0.25">
      <c r="A379" t="s">
        <v>2310</v>
      </c>
      <c r="B379" t="s">
        <v>2170</v>
      </c>
      <c r="C379" t="s">
        <v>2311</v>
      </c>
      <c r="D379" t="s">
        <v>21</v>
      </c>
      <c r="E379" t="s">
        <v>35</v>
      </c>
      <c r="F379" s="9">
        <v>271</v>
      </c>
      <c r="G379" s="9">
        <v>60</v>
      </c>
      <c r="H379" s="9">
        <v>211</v>
      </c>
      <c r="I379" s="9">
        <v>301</v>
      </c>
      <c r="J379" s="9">
        <v>90</v>
      </c>
      <c r="K379" t="str">
        <f t="shared" si="10"/>
        <v>MEDIUM</v>
      </c>
      <c r="L379" t="s">
        <v>26</v>
      </c>
    </row>
    <row r="380" spans="1:12" x14ac:dyDescent="0.25">
      <c r="A380" t="s">
        <v>1184</v>
      </c>
      <c r="B380" t="s">
        <v>789</v>
      </c>
      <c r="C380" t="s">
        <v>229</v>
      </c>
      <c r="D380" t="s">
        <v>171</v>
      </c>
      <c r="E380" t="s">
        <v>35</v>
      </c>
      <c r="F380" s="9">
        <v>157</v>
      </c>
      <c r="G380" s="9">
        <v>64</v>
      </c>
      <c r="H380" s="9">
        <v>93</v>
      </c>
      <c r="I380" s="9">
        <v>182</v>
      </c>
      <c r="J380" s="9">
        <v>89</v>
      </c>
      <c r="K380" t="str">
        <f t="shared" si="10"/>
        <v>MEDIUM</v>
      </c>
      <c r="L380" t="s">
        <v>26</v>
      </c>
    </row>
    <row r="381" spans="1:12" x14ac:dyDescent="0.25">
      <c r="A381" t="s">
        <v>1454</v>
      </c>
      <c r="B381" t="s">
        <v>789</v>
      </c>
      <c r="C381" t="s">
        <v>434</v>
      </c>
      <c r="D381" t="s">
        <v>843</v>
      </c>
      <c r="E381" t="s">
        <v>35</v>
      </c>
      <c r="F381" s="9">
        <v>163</v>
      </c>
      <c r="G381" s="9">
        <v>6</v>
      </c>
      <c r="H381" s="9">
        <v>157</v>
      </c>
      <c r="I381" s="9">
        <v>246</v>
      </c>
      <c r="J381" s="9">
        <v>89</v>
      </c>
      <c r="K381" t="str">
        <f t="shared" si="10"/>
        <v>MEDIUM</v>
      </c>
      <c r="L381" t="s">
        <v>26</v>
      </c>
    </row>
    <row r="382" spans="1:12" x14ac:dyDescent="0.25">
      <c r="A382" t="s">
        <v>1465</v>
      </c>
      <c r="B382" t="s">
        <v>789</v>
      </c>
      <c r="C382" t="s">
        <v>601</v>
      </c>
      <c r="D382" t="s">
        <v>21</v>
      </c>
      <c r="E382" t="s">
        <v>62</v>
      </c>
      <c r="F382" s="9">
        <v>77</v>
      </c>
      <c r="G382" s="9">
        <v>57</v>
      </c>
      <c r="H382" s="9">
        <v>20</v>
      </c>
      <c r="I382" s="9">
        <v>109</v>
      </c>
      <c r="J382" s="9">
        <v>89</v>
      </c>
      <c r="K382" t="str">
        <f t="shared" si="10"/>
        <v>MEDIUM</v>
      </c>
      <c r="L382" t="s">
        <v>48</v>
      </c>
    </row>
    <row r="383" spans="1:12" x14ac:dyDescent="0.25">
      <c r="A383" t="s">
        <v>305</v>
      </c>
      <c r="B383" t="s">
        <v>18</v>
      </c>
      <c r="C383" t="s">
        <v>229</v>
      </c>
      <c r="D383" t="s">
        <v>122</v>
      </c>
      <c r="E383" t="s">
        <v>83</v>
      </c>
      <c r="F383" s="9">
        <v>193</v>
      </c>
      <c r="G383" s="9">
        <v>53</v>
      </c>
      <c r="H383" s="9">
        <v>140</v>
      </c>
      <c r="I383" s="9">
        <v>226</v>
      </c>
      <c r="J383" s="9">
        <v>86</v>
      </c>
      <c r="K383" t="str">
        <f t="shared" si="10"/>
        <v>MEDIUM</v>
      </c>
      <c r="L383" t="s">
        <v>26</v>
      </c>
    </row>
    <row r="384" spans="1:12" x14ac:dyDescent="0.25">
      <c r="A384" t="s">
        <v>433</v>
      </c>
      <c r="B384" t="s">
        <v>18</v>
      </c>
      <c r="C384" t="s">
        <v>434</v>
      </c>
      <c r="D384" t="s">
        <v>21</v>
      </c>
      <c r="E384" t="s">
        <v>83</v>
      </c>
      <c r="F384" s="9">
        <v>111</v>
      </c>
      <c r="G384" s="9">
        <v>16</v>
      </c>
      <c r="H384" s="9">
        <v>95</v>
      </c>
      <c r="I384" s="9">
        <v>181</v>
      </c>
      <c r="J384" s="9">
        <v>86</v>
      </c>
      <c r="K384" t="str">
        <f t="shared" si="10"/>
        <v>MEDIUM</v>
      </c>
      <c r="L384" t="s">
        <v>26</v>
      </c>
    </row>
    <row r="385" spans="1:12" x14ac:dyDescent="0.25">
      <c r="A385" t="s">
        <v>491</v>
      </c>
      <c r="B385" t="s">
        <v>18</v>
      </c>
      <c r="C385" t="s">
        <v>434</v>
      </c>
      <c r="D385" t="s">
        <v>122</v>
      </c>
      <c r="E385" t="s">
        <v>62</v>
      </c>
      <c r="F385" s="9">
        <v>66</v>
      </c>
      <c r="G385" s="9">
        <v>37</v>
      </c>
      <c r="H385" s="9">
        <v>29</v>
      </c>
      <c r="I385" s="9">
        <v>115</v>
      </c>
      <c r="J385" s="9">
        <v>86</v>
      </c>
      <c r="K385" t="str">
        <f t="shared" si="10"/>
        <v>MEDIUM</v>
      </c>
      <c r="L385" t="s">
        <v>26</v>
      </c>
    </row>
    <row r="386" spans="1:12" x14ac:dyDescent="0.25">
      <c r="A386" t="s">
        <v>2368</v>
      </c>
      <c r="B386" t="s">
        <v>2170</v>
      </c>
      <c r="C386" t="s">
        <v>2311</v>
      </c>
      <c r="D386" t="s">
        <v>122</v>
      </c>
      <c r="E386" t="s">
        <v>83</v>
      </c>
      <c r="F386" s="9">
        <v>219</v>
      </c>
      <c r="G386" s="9">
        <v>51</v>
      </c>
      <c r="H386" s="9">
        <v>168</v>
      </c>
      <c r="I386" s="9">
        <v>254</v>
      </c>
      <c r="J386" s="9">
        <v>86</v>
      </c>
      <c r="K386" t="str">
        <f t="shared" si="10"/>
        <v>MEDIUM</v>
      </c>
      <c r="L386" t="s">
        <v>26</v>
      </c>
    </row>
    <row r="387" spans="1:12" x14ac:dyDescent="0.25">
      <c r="A387" t="s">
        <v>17</v>
      </c>
      <c r="B387" t="s">
        <v>18</v>
      </c>
      <c r="C387" t="s">
        <v>20</v>
      </c>
      <c r="D387" t="s">
        <v>21</v>
      </c>
      <c r="E387" t="s">
        <v>35</v>
      </c>
      <c r="F387" s="9">
        <v>169</v>
      </c>
      <c r="G387" s="9">
        <v>89</v>
      </c>
      <c r="H387" s="9">
        <v>80</v>
      </c>
      <c r="I387" s="9">
        <v>165</v>
      </c>
      <c r="J387" s="9">
        <v>85</v>
      </c>
      <c r="K387" t="str">
        <f t="shared" si="10"/>
        <v>MEDIUM</v>
      </c>
      <c r="L387" t="s">
        <v>26</v>
      </c>
    </row>
    <row r="388" spans="1:12" x14ac:dyDescent="0.25">
      <c r="A388" t="s">
        <v>855</v>
      </c>
      <c r="B388" t="s">
        <v>789</v>
      </c>
      <c r="C388" t="s">
        <v>20</v>
      </c>
      <c r="D388" t="s">
        <v>21</v>
      </c>
      <c r="E388" t="s">
        <v>62</v>
      </c>
      <c r="F388" s="9">
        <v>144</v>
      </c>
      <c r="G388" s="9">
        <v>71</v>
      </c>
      <c r="H388" s="9">
        <v>73</v>
      </c>
      <c r="I388" s="9">
        <v>158</v>
      </c>
      <c r="J388" s="9">
        <v>85</v>
      </c>
      <c r="K388" t="str">
        <f t="shared" si="10"/>
        <v>MEDIUM</v>
      </c>
      <c r="L388" t="s">
        <v>48</v>
      </c>
    </row>
    <row r="389" spans="1:12" x14ac:dyDescent="0.25">
      <c r="A389" t="s">
        <v>855</v>
      </c>
      <c r="B389" t="s">
        <v>789</v>
      </c>
      <c r="C389" t="s">
        <v>20</v>
      </c>
      <c r="D389" t="s">
        <v>21</v>
      </c>
      <c r="E389" t="s">
        <v>83</v>
      </c>
      <c r="F389" s="9">
        <v>114</v>
      </c>
      <c r="G389" s="9">
        <v>0</v>
      </c>
      <c r="H389" s="9">
        <v>114</v>
      </c>
      <c r="I389" s="9">
        <v>199</v>
      </c>
      <c r="J389" s="9">
        <v>85</v>
      </c>
      <c r="K389" t="str">
        <f t="shared" si="10"/>
        <v>MEDIUM</v>
      </c>
      <c r="L389" t="s">
        <v>48</v>
      </c>
    </row>
    <row r="390" spans="1:12" x14ac:dyDescent="0.25">
      <c r="A390" t="s">
        <v>675</v>
      </c>
      <c r="B390" t="s">
        <v>18</v>
      </c>
      <c r="C390" t="s">
        <v>601</v>
      </c>
      <c r="D390" t="s">
        <v>122</v>
      </c>
      <c r="E390" t="s">
        <v>35</v>
      </c>
      <c r="F390" s="9">
        <v>105</v>
      </c>
      <c r="G390" s="9">
        <v>61</v>
      </c>
      <c r="H390" s="9">
        <v>44</v>
      </c>
      <c r="I390" s="9">
        <v>127</v>
      </c>
      <c r="J390" s="9">
        <v>83</v>
      </c>
      <c r="K390" t="str">
        <f t="shared" si="10"/>
        <v>MEDIUM</v>
      </c>
      <c r="L390" t="s">
        <v>26</v>
      </c>
    </row>
    <row r="391" spans="1:12" x14ac:dyDescent="0.25">
      <c r="A391" t="s">
        <v>1319</v>
      </c>
      <c r="B391" t="s">
        <v>789</v>
      </c>
      <c r="C391" t="s">
        <v>434</v>
      </c>
      <c r="D391" t="s">
        <v>122</v>
      </c>
      <c r="E391" t="s">
        <v>83</v>
      </c>
      <c r="F391" s="9">
        <v>87</v>
      </c>
      <c r="G391" s="9">
        <v>11</v>
      </c>
      <c r="H391" s="9">
        <v>76</v>
      </c>
      <c r="I391" s="9">
        <v>158</v>
      </c>
      <c r="J391" s="9">
        <v>82</v>
      </c>
      <c r="K391" t="str">
        <f t="shared" si="10"/>
        <v>MEDIUM</v>
      </c>
      <c r="L391" t="s">
        <v>48</v>
      </c>
    </row>
    <row r="392" spans="1:12" x14ac:dyDescent="0.25">
      <c r="A392" t="s">
        <v>2510</v>
      </c>
      <c r="B392" t="s">
        <v>2170</v>
      </c>
      <c r="C392" t="s">
        <v>2460</v>
      </c>
      <c r="D392" t="s">
        <v>122</v>
      </c>
      <c r="E392" t="s">
        <v>83</v>
      </c>
      <c r="F392" s="9">
        <v>306</v>
      </c>
      <c r="G392" s="9">
        <v>30</v>
      </c>
      <c r="H392" s="9">
        <v>276</v>
      </c>
      <c r="I392" s="9">
        <v>358</v>
      </c>
      <c r="J392" s="9">
        <v>82</v>
      </c>
      <c r="K392" t="str">
        <f t="shared" si="10"/>
        <v>MEDIUM</v>
      </c>
      <c r="L392" t="s">
        <v>26</v>
      </c>
    </row>
    <row r="393" spans="1:12" x14ac:dyDescent="0.25">
      <c r="A393" t="s">
        <v>491</v>
      </c>
      <c r="B393" t="s">
        <v>18</v>
      </c>
      <c r="C393" t="s">
        <v>434</v>
      </c>
      <c r="D393" t="s">
        <v>122</v>
      </c>
      <c r="E393" t="s">
        <v>83</v>
      </c>
      <c r="F393" s="9">
        <v>71</v>
      </c>
      <c r="G393" s="9">
        <v>26</v>
      </c>
      <c r="H393" s="9">
        <v>45</v>
      </c>
      <c r="I393" s="9">
        <v>126</v>
      </c>
      <c r="J393" s="9">
        <v>81</v>
      </c>
      <c r="K393" t="str">
        <f t="shared" si="10"/>
        <v>MEDIUM</v>
      </c>
      <c r="L393" t="s">
        <v>26</v>
      </c>
    </row>
    <row r="394" spans="1:12" x14ac:dyDescent="0.25">
      <c r="A394" t="s">
        <v>1611</v>
      </c>
      <c r="B394" t="s">
        <v>1612</v>
      </c>
      <c r="C394" t="s">
        <v>20</v>
      </c>
      <c r="D394" t="s">
        <v>21</v>
      </c>
      <c r="E394" t="s">
        <v>83</v>
      </c>
      <c r="F394" s="9">
        <v>206</v>
      </c>
      <c r="G394" s="9">
        <v>4</v>
      </c>
      <c r="H394" s="9">
        <v>202</v>
      </c>
      <c r="I394" s="9">
        <v>283</v>
      </c>
      <c r="J394" s="9">
        <v>81</v>
      </c>
      <c r="K394" t="str">
        <f t="shared" si="10"/>
        <v>MEDIUM</v>
      </c>
      <c r="L394" t="s">
        <v>26</v>
      </c>
    </row>
    <row r="395" spans="1:12" x14ac:dyDescent="0.25">
      <c r="A395" t="s">
        <v>305</v>
      </c>
      <c r="B395" t="s">
        <v>18</v>
      </c>
      <c r="C395" t="s">
        <v>229</v>
      </c>
      <c r="D395" t="s">
        <v>122</v>
      </c>
      <c r="E395" t="s">
        <v>62</v>
      </c>
      <c r="F395" s="9">
        <v>124</v>
      </c>
      <c r="G395" s="9">
        <v>89</v>
      </c>
      <c r="H395" s="9">
        <v>35</v>
      </c>
      <c r="I395" s="9">
        <v>115</v>
      </c>
      <c r="J395" s="9">
        <v>80</v>
      </c>
      <c r="K395" t="str">
        <f t="shared" si="10"/>
        <v>MEDIUM</v>
      </c>
      <c r="L395" t="s">
        <v>48</v>
      </c>
    </row>
    <row r="396" spans="1:12" x14ac:dyDescent="0.25">
      <c r="A396" t="s">
        <v>305</v>
      </c>
      <c r="B396" t="s">
        <v>18</v>
      </c>
      <c r="C396" t="s">
        <v>229</v>
      </c>
      <c r="D396" t="s">
        <v>122</v>
      </c>
      <c r="E396" t="s">
        <v>83</v>
      </c>
      <c r="F396" s="9">
        <v>115</v>
      </c>
      <c r="G396" s="9">
        <v>60</v>
      </c>
      <c r="H396" s="9">
        <v>55</v>
      </c>
      <c r="I396" s="9">
        <v>135</v>
      </c>
      <c r="J396" s="9">
        <v>80</v>
      </c>
      <c r="K396" t="str">
        <f t="shared" si="10"/>
        <v>MEDIUM</v>
      </c>
      <c r="L396" t="s">
        <v>26</v>
      </c>
    </row>
    <row r="397" spans="1:12" x14ac:dyDescent="0.25">
      <c r="A397" t="s">
        <v>1443</v>
      </c>
      <c r="B397" t="s">
        <v>789</v>
      </c>
      <c r="C397" t="s">
        <v>434</v>
      </c>
      <c r="D397" t="s">
        <v>830</v>
      </c>
      <c r="E397" t="s">
        <v>62</v>
      </c>
      <c r="F397" s="9">
        <v>198</v>
      </c>
      <c r="G397" s="9">
        <v>6</v>
      </c>
      <c r="H397" s="9">
        <v>192</v>
      </c>
      <c r="I397" s="9">
        <v>272</v>
      </c>
      <c r="J397" s="9">
        <v>80</v>
      </c>
      <c r="K397" t="str">
        <f t="shared" si="10"/>
        <v>MEDIUM</v>
      </c>
      <c r="L397" t="s">
        <v>26</v>
      </c>
    </row>
    <row r="398" spans="1:12" x14ac:dyDescent="0.25">
      <c r="A398" t="s">
        <v>1253</v>
      </c>
      <c r="B398" t="s">
        <v>789</v>
      </c>
      <c r="C398" t="s">
        <v>434</v>
      </c>
      <c r="D398" t="s">
        <v>21</v>
      </c>
      <c r="E398" t="s">
        <v>83</v>
      </c>
      <c r="F398" s="9">
        <v>178</v>
      </c>
      <c r="G398" s="9">
        <v>30</v>
      </c>
      <c r="H398" s="9">
        <v>148</v>
      </c>
      <c r="I398" s="9">
        <v>226</v>
      </c>
      <c r="J398" s="9">
        <v>78</v>
      </c>
      <c r="K398" t="str">
        <f t="shared" si="10"/>
        <v>MEDIUM</v>
      </c>
      <c r="L398" t="s">
        <v>26</v>
      </c>
    </row>
    <row r="399" spans="1:12" x14ac:dyDescent="0.25">
      <c r="A399" t="s">
        <v>1500</v>
      </c>
      <c r="B399" t="s">
        <v>789</v>
      </c>
      <c r="C399" t="s">
        <v>601</v>
      </c>
      <c r="D399" t="s">
        <v>122</v>
      </c>
      <c r="E399" t="s">
        <v>62</v>
      </c>
      <c r="F399" s="9">
        <v>120</v>
      </c>
      <c r="G399" s="9">
        <v>48</v>
      </c>
      <c r="H399" s="9">
        <v>72</v>
      </c>
      <c r="I399" s="9">
        <v>150</v>
      </c>
      <c r="J399" s="9">
        <v>78</v>
      </c>
      <c r="K399" t="str">
        <f t="shared" si="10"/>
        <v>MEDIUM</v>
      </c>
      <c r="L399" t="s">
        <v>26</v>
      </c>
    </row>
    <row r="400" spans="1:12" x14ac:dyDescent="0.25">
      <c r="A400" t="s">
        <v>735</v>
      </c>
      <c r="B400" t="s">
        <v>18</v>
      </c>
      <c r="C400" t="s">
        <v>601</v>
      </c>
      <c r="D400" t="s">
        <v>171</v>
      </c>
      <c r="E400" t="s">
        <v>83</v>
      </c>
      <c r="F400" s="9">
        <v>182</v>
      </c>
      <c r="G400" s="9">
        <v>14</v>
      </c>
      <c r="H400" s="9">
        <v>168</v>
      </c>
      <c r="I400" s="9">
        <v>245</v>
      </c>
      <c r="J400" s="9">
        <v>77</v>
      </c>
      <c r="K400" t="str">
        <f t="shared" si="10"/>
        <v>MEDIUM</v>
      </c>
      <c r="L400" t="s">
        <v>26</v>
      </c>
    </row>
    <row r="401" spans="1:12" x14ac:dyDescent="0.25">
      <c r="A401" t="s">
        <v>228</v>
      </c>
      <c r="B401" t="s">
        <v>18</v>
      </c>
      <c r="C401" t="s">
        <v>229</v>
      </c>
      <c r="D401" t="s">
        <v>21</v>
      </c>
      <c r="E401" t="s">
        <v>62</v>
      </c>
      <c r="F401" s="9">
        <v>161</v>
      </c>
      <c r="G401" s="9">
        <v>93</v>
      </c>
      <c r="H401" s="9">
        <v>68</v>
      </c>
      <c r="I401" s="9">
        <v>144</v>
      </c>
      <c r="J401" s="9">
        <v>76</v>
      </c>
      <c r="K401" t="str">
        <f t="shared" si="10"/>
        <v>MEDIUM</v>
      </c>
      <c r="L401" t="s">
        <v>26</v>
      </c>
    </row>
    <row r="402" spans="1:12" x14ac:dyDescent="0.25">
      <c r="A402" t="s">
        <v>1150</v>
      </c>
      <c r="B402" t="s">
        <v>789</v>
      </c>
      <c r="C402" t="s">
        <v>229</v>
      </c>
      <c r="D402" t="s">
        <v>790</v>
      </c>
      <c r="E402" t="s">
        <v>35</v>
      </c>
      <c r="F402" s="9">
        <v>193</v>
      </c>
      <c r="G402" s="9">
        <v>0</v>
      </c>
      <c r="H402" s="9">
        <v>193</v>
      </c>
      <c r="I402" s="9">
        <v>269</v>
      </c>
      <c r="J402" s="9">
        <v>76</v>
      </c>
      <c r="K402" t="str">
        <f t="shared" si="10"/>
        <v>MEDIUM</v>
      </c>
      <c r="L402" t="s">
        <v>26</v>
      </c>
    </row>
    <row r="403" spans="1:12" x14ac:dyDescent="0.25">
      <c r="A403" t="s">
        <v>1400</v>
      </c>
      <c r="B403" t="s">
        <v>789</v>
      </c>
      <c r="C403" t="s">
        <v>434</v>
      </c>
      <c r="D403" t="s">
        <v>171</v>
      </c>
      <c r="E403" t="s">
        <v>35</v>
      </c>
      <c r="F403" s="9">
        <v>144</v>
      </c>
      <c r="G403" s="9">
        <v>67</v>
      </c>
      <c r="H403" s="9">
        <v>77</v>
      </c>
      <c r="I403" s="9">
        <v>153</v>
      </c>
      <c r="J403" s="9">
        <v>76</v>
      </c>
      <c r="K403" t="str">
        <f t="shared" si="10"/>
        <v>MEDIUM</v>
      </c>
      <c r="L403" t="s">
        <v>26</v>
      </c>
    </row>
    <row r="404" spans="1:12" x14ac:dyDescent="0.25">
      <c r="A404" t="s">
        <v>2136</v>
      </c>
      <c r="B404" t="s">
        <v>1612</v>
      </c>
      <c r="C404" t="s">
        <v>601</v>
      </c>
      <c r="D404" t="s">
        <v>171</v>
      </c>
      <c r="E404" t="s">
        <v>62</v>
      </c>
      <c r="F404" s="9">
        <v>337</v>
      </c>
      <c r="G404" s="9">
        <v>42</v>
      </c>
      <c r="H404" s="9">
        <v>295</v>
      </c>
      <c r="I404" s="9">
        <v>371</v>
      </c>
      <c r="J404" s="9">
        <v>76</v>
      </c>
      <c r="K404" t="str">
        <f t="shared" si="10"/>
        <v>MEDIUM</v>
      </c>
      <c r="L404" t="s">
        <v>26</v>
      </c>
    </row>
    <row r="405" spans="1:12" x14ac:dyDescent="0.25">
      <c r="A405" t="s">
        <v>370</v>
      </c>
      <c r="B405" t="s">
        <v>18</v>
      </c>
      <c r="C405" t="s">
        <v>229</v>
      </c>
      <c r="D405" t="s">
        <v>171</v>
      </c>
      <c r="E405" t="s">
        <v>35</v>
      </c>
      <c r="F405" s="9">
        <v>113</v>
      </c>
      <c r="G405" s="9">
        <v>46</v>
      </c>
      <c r="H405" s="9">
        <v>67</v>
      </c>
      <c r="I405" s="9">
        <v>142</v>
      </c>
      <c r="J405" s="9">
        <v>75</v>
      </c>
      <c r="K405" t="str">
        <f t="shared" si="10"/>
        <v>MEDIUM</v>
      </c>
      <c r="L405" t="s">
        <v>48</v>
      </c>
    </row>
    <row r="406" spans="1:12" x14ac:dyDescent="0.25">
      <c r="A406" t="s">
        <v>370</v>
      </c>
      <c r="B406" t="s">
        <v>18</v>
      </c>
      <c r="C406" t="s">
        <v>229</v>
      </c>
      <c r="D406" t="s">
        <v>171</v>
      </c>
      <c r="E406" t="s">
        <v>62</v>
      </c>
      <c r="F406" s="9">
        <v>150</v>
      </c>
      <c r="G406" s="9">
        <v>91</v>
      </c>
      <c r="H406" s="9">
        <v>59</v>
      </c>
      <c r="I406" s="9">
        <v>134</v>
      </c>
      <c r="J406" s="9">
        <v>75</v>
      </c>
      <c r="K406" t="str">
        <f t="shared" si="10"/>
        <v>MEDIUM</v>
      </c>
      <c r="L406" t="s">
        <v>48</v>
      </c>
    </row>
    <row r="407" spans="1:12" x14ac:dyDescent="0.25">
      <c r="A407" t="s">
        <v>1319</v>
      </c>
      <c r="B407" t="s">
        <v>789</v>
      </c>
      <c r="C407" t="s">
        <v>434</v>
      </c>
      <c r="D407" t="s">
        <v>122</v>
      </c>
      <c r="E407" t="s">
        <v>83</v>
      </c>
      <c r="F407" s="9">
        <v>123</v>
      </c>
      <c r="G407" s="9">
        <v>57</v>
      </c>
      <c r="H407" s="9">
        <v>66</v>
      </c>
      <c r="I407" s="9">
        <v>141</v>
      </c>
      <c r="J407" s="9">
        <v>75</v>
      </c>
      <c r="K407" t="str">
        <f t="shared" si="10"/>
        <v>MEDIUM</v>
      </c>
      <c r="L407" t="s">
        <v>26</v>
      </c>
    </row>
    <row r="408" spans="1:12" x14ac:dyDescent="0.25">
      <c r="A408" t="s">
        <v>1400</v>
      </c>
      <c r="B408" t="s">
        <v>789</v>
      </c>
      <c r="C408" t="s">
        <v>434</v>
      </c>
      <c r="D408" t="s">
        <v>171</v>
      </c>
      <c r="E408" t="s">
        <v>62</v>
      </c>
      <c r="F408" s="9">
        <v>91</v>
      </c>
      <c r="G408" s="9">
        <v>3</v>
      </c>
      <c r="H408" s="9">
        <v>88</v>
      </c>
      <c r="I408" s="9">
        <v>163</v>
      </c>
      <c r="J408" s="9">
        <v>75</v>
      </c>
      <c r="K408" t="str">
        <f t="shared" si="10"/>
        <v>MEDIUM</v>
      </c>
      <c r="L408" t="s">
        <v>48</v>
      </c>
    </row>
    <row r="409" spans="1:12" x14ac:dyDescent="0.25">
      <c r="A409" t="s">
        <v>600</v>
      </c>
      <c r="B409" t="s">
        <v>18</v>
      </c>
      <c r="C409" t="s">
        <v>601</v>
      </c>
      <c r="D409" t="s">
        <v>21</v>
      </c>
      <c r="E409" t="s">
        <v>62</v>
      </c>
      <c r="F409" s="9">
        <v>148</v>
      </c>
      <c r="G409" s="9">
        <v>42</v>
      </c>
      <c r="H409" s="9">
        <v>106</v>
      </c>
      <c r="I409" s="9">
        <v>180</v>
      </c>
      <c r="J409" s="9">
        <v>74</v>
      </c>
      <c r="K409" t="str">
        <f t="shared" si="10"/>
        <v>MEDIUM</v>
      </c>
      <c r="L409" t="s">
        <v>26</v>
      </c>
    </row>
    <row r="410" spans="1:12" x14ac:dyDescent="0.25">
      <c r="A410" t="s">
        <v>993</v>
      </c>
      <c r="B410" t="s">
        <v>789</v>
      </c>
      <c r="C410" t="s">
        <v>20</v>
      </c>
      <c r="D410" t="s">
        <v>171</v>
      </c>
      <c r="E410" t="s">
        <v>35</v>
      </c>
      <c r="F410" s="9">
        <v>110</v>
      </c>
      <c r="G410" s="9">
        <v>66</v>
      </c>
      <c r="H410" s="9">
        <v>44</v>
      </c>
      <c r="I410" s="9">
        <v>118</v>
      </c>
      <c r="J410" s="9">
        <v>74</v>
      </c>
      <c r="K410" t="str">
        <f t="shared" si="10"/>
        <v>MEDIUM</v>
      </c>
      <c r="L410" t="s">
        <v>26</v>
      </c>
    </row>
    <row r="411" spans="1:12" x14ac:dyDescent="0.25">
      <c r="A411" t="s">
        <v>2459</v>
      </c>
      <c r="B411" t="s">
        <v>2170</v>
      </c>
      <c r="C411" t="s">
        <v>2460</v>
      </c>
      <c r="D411" t="s">
        <v>21</v>
      </c>
      <c r="E411" t="s">
        <v>62</v>
      </c>
      <c r="F411" s="9">
        <v>296</v>
      </c>
      <c r="G411" s="9">
        <v>75</v>
      </c>
      <c r="H411" s="9">
        <v>221</v>
      </c>
      <c r="I411" s="9">
        <v>295</v>
      </c>
      <c r="J411" s="9">
        <v>74</v>
      </c>
      <c r="K411" t="str">
        <f t="shared" si="10"/>
        <v>MEDIUM</v>
      </c>
      <c r="L411" t="s">
        <v>26</v>
      </c>
    </row>
    <row r="412" spans="1:12" x14ac:dyDescent="0.25">
      <c r="A412" t="s">
        <v>170</v>
      </c>
      <c r="B412" t="s">
        <v>18</v>
      </c>
      <c r="C412" t="s">
        <v>20</v>
      </c>
      <c r="D412" t="s">
        <v>171</v>
      </c>
      <c r="E412" t="s">
        <v>83</v>
      </c>
      <c r="F412" s="9">
        <v>176</v>
      </c>
      <c r="G412" s="9">
        <v>33</v>
      </c>
      <c r="H412" s="9">
        <v>143</v>
      </c>
      <c r="I412" s="9">
        <v>216</v>
      </c>
      <c r="J412" s="9">
        <v>73</v>
      </c>
      <c r="K412" t="str">
        <f t="shared" si="10"/>
        <v>MEDIUM</v>
      </c>
      <c r="L412" t="s">
        <v>26</v>
      </c>
    </row>
    <row r="413" spans="1:12" x14ac:dyDescent="0.25">
      <c r="A413" t="s">
        <v>1555</v>
      </c>
      <c r="B413" t="s">
        <v>789</v>
      </c>
      <c r="C413" t="s">
        <v>601</v>
      </c>
      <c r="D413" t="s">
        <v>171</v>
      </c>
      <c r="E413" t="s">
        <v>35</v>
      </c>
      <c r="F413" s="9">
        <v>164</v>
      </c>
      <c r="G413" s="9">
        <v>38</v>
      </c>
      <c r="H413" s="9">
        <v>126</v>
      </c>
      <c r="I413" s="9">
        <v>199</v>
      </c>
      <c r="J413" s="9">
        <v>73</v>
      </c>
      <c r="K413" t="str">
        <f t="shared" si="10"/>
        <v>MEDIUM</v>
      </c>
      <c r="L413" t="s">
        <v>48</v>
      </c>
    </row>
    <row r="414" spans="1:12" x14ac:dyDescent="0.25">
      <c r="A414" t="s">
        <v>491</v>
      </c>
      <c r="B414" t="s">
        <v>18</v>
      </c>
      <c r="C414" t="s">
        <v>434</v>
      </c>
      <c r="D414" t="s">
        <v>122</v>
      </c>
      <c r="E414" t="s">
        <v>83</v>
      </c>
      <c r="F414" s="9">
        <v>125</v>
      </c>
      <c r="G414" s="9">
        <v>19</v>
      </c>
      <c r="H414" s="9">
        <v>106</v>
      </c>
      <c r="I414" s="9">
        <v>178</v>
      </c>
      <c r="J414" s="9">
        <v>72</v>
      </c>
      <c r="K414" t="str">
        <f t="shared" si="10"/>
        <v>MEDIUM</v>
      </c>
      <c r="L414" t="s">
        <v>26</v>
      </c>
    </row>
    <row r="415" spans="1:12" x14ac:dyDescent="0.25">
      <c r="A415" t="s">
        <v>973</v>
      </c>
      <c r="B415" t="s">
        <v>789</v>
      </c>
      <c r="C415" t="s">
        <v>20</v>
      </c>
      <c r="D415" t="s">
        <v>804</v>
      </c>
      <c r="E415" t="s">
        <v>35</v>
      </c>
      <c r="F415" s="9">
        <v>191</v>
      </c>
      <c r="G415" s="9">
        <v>5</v>
      </c>
      <c r="H415" s="9">
        <v>186</v>
      </c>
      <c r="I415" s="9">
        <v>258</v>
      </c>
      <c r="J415" s="9">
        <v>72</v>
      </c>
      <c r="K415" t="str">
        <f t="shared" si="10"/>
        <v>MEDIUM</v>
      </c>
      <c r="L415" t="s">
        <v>26</v>
      </c>
    </row>
    <row r="416" spans="1:12" x14ac:dyDescent="0.25">
      <c r="A416" t="s">
        <v>1454</v>
      </c>
      <c r="B416" t="s">
        <v>789</v>
      </c>
      <c r="C416" t="s">
        <v>434</v>
      </c>
      <c r="D416" t="s">
        <v>843</v>
      </c>
      <c r="E416" t="s">
        <v>29</v>
      </c>
      <c r="F416" s="9">
        <v>139</v>
      </c>
      <c r="G416" s="9">
        <v>8</v>
      </c>
      <c r="H416" s="9">
        <v>131</v>
      </c>
      <c r="I416" s="9">
        <v>203</v>
      </c>
      <c r="J416" s="9">
        <v>72</v>
      </c>
      <c r="K416" t="str">
        <f t="shared" si="10"/>
        <v>MEDIUM</v>
      </c>
      <c r="L416" t="s">
        <v>26</v>
      </c>
    </row>
    <row r="417" spans="1:12" x14ac:dyDescent="0.25">
      <c r="A417" t="s">
        <v>2459</v>
      </c>
      <c r="B417" t="s">
        <v>2170</v>
      </c>
      <c r="C417" t="s">
        <v>2460</v>
      </c>
      <c r="D417" t="s">
        <v>21</v>
      </c>
      <c r="E417" t="s">
        <v>35</v>
      </c>
      <c r="F417" s="9">
        <v>303</v>
      </c>
      <c r="G417" s="9">
        <v>55</v>
      </c>
      <c r="H417" s="9">
        <v>248</v>
      </c>
      <c r="I417" s="9">
        <v>320</v>
      </c>
      <c r="J417" s="9">
        <v>72</v>
      </c>
      <c r="K417" t="str">
        <f t="shared" ref="K417:K480" si="11">IF(H417=0,"CRITICAL",IF(J417&gt;200,"HIGH","MEDIUM"))</f>
        <v>MEDIUM</v>
      </c>
      <c r="L417" t="s">
        <v>48</v>
      </c>
    </row>
    <row r="418" spans="1:12" x14ac:dyDescent="0.25">
      <c r="A418" t="s">
        <v>1671</v>
      </c>
      <c r="B418" t="s">
        <v>1612</v>
      </c>
      <c r="C418" t="s">
        <v>20</v>
      </c>
      <c r="D418" t="s">
        <v>122</v>
      </c>
      <c r="E418" t="s">
        <v>35</v>
      </c>
      <c r="F418" s="9">
        <v>271</v>
      </c>
      <c r="G418" s="9">
        <v>58</v>
      </c>
      <c r="H418" s="9">
        <v>213</v>
      </c>
      <c r="I418" s="9">
        <v>284</v>
      </c>
      <c r="J418" s="9">
        <v>71</v>
      </c>
      <c r="K418" t="str">
        <f t="shared" si="11"/>
        <v>MEDIUM</v>
      </c>
      <c r="L418" t="s">
        <v>26</v>
      </c>
    </row>
    <row r="419" spans="1:12" x14ac:dyDescent="0.25">
      <c r="A419" t="s">
        <v>228</v>
      </c>
      <c r="B419" t="s">
        <v>18</v>
      </c>
      <c r="C419" t="s">
        <v>229</v>
      </c>
      <c r="D419" t="s">
        <v>21</v>
      </c>
      <c r="E419" t="s">
        <v>35</v>
      </c>
      <c r="F419" s="9">
        <v>149</v>
      </c>
      <c r="G419" s="9">
        <v>66</v>
      </c>
      <c r="H419" s="9">
        <v>83</v>
      </c>
      <c r="I419" s="9">
        <v>153</v>
      </c>
      <c r="J419" s="9">
        <v>70</v>
      </c>
      <c r="K419" t="str">
        <f t="shared" si="11"/>
        <v>MEDIUM</v>
      </c>
      <c r="L419" t="s">
        <v>26</v>
      </c>
    </row>
    <row r="420" spans="1:12" x14ac:dyDescent="0.25">
      <c r="A420" t="s">
        <v>1400</v>
      </c>
      <c r="B420" t="s">
        <v>789</v>
      </c>
      <c r="C420" t="s">
        <v>434</v>
      </c>
      <c r="D420" t="s">
        <v>171</v>
      </c>
      <c r="E420" t="s">
        <v>62</v>
      </c>
      <c r="F420" s="9">
        <v>176</v>
      </c>
      <c r="G420" s="9">
        <v>41</v>
      </c>
      <c r="H420" s="9">
        <v>135</v>
      </c>
      <c r="I420" s="9">
        <v>205</v>
      </c>
      <c r="J420" s="9">
        <v>70</v>
      </c>
      <c r="K420" t="str">
        <f t="shared" si="11"/>
        <v>MEDIUM</v>
      </c>
      <c r="L420" t="s">
        <v>26</v>
      </c>
    </row>
    <row r="421" spans="1:12" x14ac:dyDescent="0.25">
      <c r="A421" t="s">
        <v>1710</v>
      </c>
      <c r="B421" t="s">
        <v>1612</v>
      </c>
      <c r="C421" t="s">
        <v>20</v>
      </c>
      <c r="D421" t="s">
        <v>171</v>
      </c>
      <c r="E421" t="s">
        <v>83</v>
      </c>
      <c r="F421" s="9">
        <v>376</v>
      </c>
      <c r="G421" s="9">
        <v>71</v>
      </c>
      <c r="H421" s="9">
        <v>305</v>
      </c>
      <c r="I421" s="9">
        <v>374</v>
      </c>
      <c r="J421" s="9">
        <v>69</v>
      </c>
      <c r="K421" t="str">
        <f t="shared" si="11"/>
        <v>MEDIUM</v>
      </c>
      <c r="L421" t="s">
        <v>26</v>
      </c>
    </row>
    <row r="422" spans="1:12" x14ac:dyDescent="0.25">
      <c r="A422" t="s">
        <v>2661</v>
      </c>
      <c r="B422" t="s">
        <v>2170</v>
      </c>
      <c r="C422" t="s">
        <v>2589</v>
      </c>
      <c r="D422" t="s">
        <v>171</v>
      </c>
      <c r="E422" t="s">
        <v>35</v>
      </c>
      <c r="F422" s="9">
        <v>318</v>
      </c>
      <c r="G422" s="9">
        <v>76</v>
      </c>
      <c r="H422" s="9">
        <v>242</v>
      </c>
      <c r="I422" s="9">
        <v>311</v>
      </c>
      <c r="J422" s="9">
        <v>69</v>
      </c>
      <c r="K422" t="str">
        <f t="shared" si="11"/>
        <v>MEDIUM</v>
      </c>
      <c r="L422" t="s">
        <v>48</v>
      </c>
    </row>
    <row r="423" spans="1:12" x14ac:dyDescent="0.25">
      <c r="A423" t="s">
        <v>829</v>
      </c>
      <c r="B423" t="s">
        <v>789</v>
      </c>
      <c r="C423" t="s">
        <v>601</v>
      </c>
      <c r="D423" t="s">
        <v>830</v>
      </c>
      <c r="E423" t="s">
        <v>29</v>
      </c>
      <c r="F423" s="9">
        <v>173</v>
      </c>
      <c r="G423" s="9">
        <v>6</v>
      </c>
      <c r="H423" s="9">
        <v>167</v>
      </c>
      <c r="I423" s="9">
        <v>235</v>
      </c>
      <c r="J423" s="9">
        <v>68</v>
      </c>
      <c r="K423" t="str">
        <f t="shared" si="11"/>
        <v>MEDIUM</v>
      </c>
      <c r="L423" t="s">
        <v>26</v>
      </c>
    </row>
    <row r="424" spans="1:12" x14ac:dyDescent="0.25">
      <c r="A424" t="s">
        <v>170</v>
      </c>
      <c r="B424" t="s">
        <v>18</v>
      </c>
      <c r="C424" t="s">
        <v>20</v>
      </c>
      <c r="D424" t="s">
        <v>171</v>
      </c>
      <c r="E424" t="s">
        <v>62</v>
      </c>
      <c r="F424" s="9">
        <v>175</v>
      </c>
      <c r="G424" s="9">
        <v>61</v>
      </c>
      <c r="H424" s="9">
        <v>114</v>
      </c>
      <c r="I424" s="9">
        <v>180</v>
      </c>
      <c r="J424" s="9">
        <v>66</v>
      </c>
      <c r="K424" t="str">
        <f t="shared" si="11"/>
        <v>MEDIUM</v>
      </c>
      <c r="L424" t="s">
        <v>26</v>
      </c>
    </row>
    <row r="425" spans="1:12" x14ac:dyDescent="0.25">
      <c r="A425" t="s">
        <v>1319</v>
      </c>
      <c r="B425" t="s">
        <v>789</v>
      </c>
      <c r="C425" t="s">
        <v>434</v>
      </c>
      <c r="D425" t="s">
        <v>122</v>
      </c>
      <c r="E425" t="s">
        <v>62</v>
      </c>
      <c r="F425" s="9">
        <v>169</v>
      </c>
      <c r="G425" s="9">
        <v>55</v>
      </c>
      <c r="H425" s="9">
        <v>114</v>
      </c>
      <c r="I425" s="9">
        <v>180</v>
      </c>
      <c r="J425" s="9">
        <v>66</v>
      </c>
      <c r="K425" t="str">
        <f t="shared" si="11"/>
        <v>MEDIUM</v>
      </c>
      <c r="L425" t="s">
        <v>48</v>
      </c>
    </row>
    <row r="426" spans="1:12" x14ac:dyDescent="0.25">
      <c r="A426" t="s">
        <v>1611</v>
      </c>
      <c r="B426" t="s">
        <v>1612</v>
      </c>
      <c r="C426" t="s">
        <v>20</v>
      </c>
      <c r="D426" t="s">
        <v>21</v>
      </c>
      <c r="E426" t="s">
        <v>35</v>
      </c>
      <c r="F426" s="9">
        <v>367</v>
      </c>
      <c r="G426" s="9">
        <v>62</v>
      </c>
      <c r="H426" s="9">
        <v>305</v>
      </c>
      <c r="I426" s="9">
        <v>370</v>
      </c>
      <c r="J426" s="9">
        <v>65</v>
      </c>
      <c r="K426" t="str">
        <f t="shared" si="11"/>
        <v>MEDIUM</v>
      </c>
      <c r="L426" t="s">
        <v>26</v>
      </c>
    </row>
    <row r="427" spans="1:12" x14ac:dyDescent="0.25">
      <c r="A427" t="s">
        <v>1400</v>
      </c>
      <c r="B427" t="s">
        <v>789</v>
      </c>
      <c r="C427" t="s">
        <v>434</v>
      </c>
      <c r="D427" t="s">
        <v>171</v>
      </c>
      <c r="E427" t="s">
        <v>83</v>
      </c>
      <c r="F427" s="9">
        <v>180</v>
      </c>
      <c r="G427" s="9">
        <v>13</v>
      </c>
      <c r="H427" s="9">
        <v>167</v>
      </c>
      <c r="I427" s="9">
        <v>231</v>
      </c>
      <c r="J427" s="9">
        <v>64</v>
      </c>
      <c r="K427" t="str">
        <f t="shared" si="11"/>
        <v>MEDIUM</v>
      </c>
      <c r="L427" t="s">
        <v>26</v>
      </c>
    </row>
    <row r="428" spans="1:12" x14ac:dyDescent="0.25">
      <c r="A428" t="s">
        <v>2368</v>
      </c>
      <c r="B428" t="s">
        <v>2170</v>
      </c>
      <c r="C428" t="s">
        <v>2311</v>
      </c>
      <c r="D428" t="s">
        <v>122</v>
      </c>
      <c r="E428" t="s">
        <v>83</v>
      </c>
      <c r="F428" s="9">
        <v>242</v>
      </c>
      <c r="G428" s="9">
        <v>12</v>
      </c>
      <c r="H428" s="9">
        <v>230</v>
      </c>
      <c r="I428" s="9">
        <v>294</v>
      </c>
      <c r="J428" s="9">
        <v>64</v>
      </c>
      <c r="K428" t="str">
        <f t="shared" si="11"/>
        <v>MEDIUM</v>
      </c>
      <c r="L428" t="s">
        <v>48</v>
      </c>
    </row>
    <row r="429" spans="1:12" x14ac:dyDescent="0.25">
      <c r="A429" t="s">
        <v>921</v>
      </c>
      <c r="B429" t="s">
        <v>789</v>
      </c>
      <c r="C429" t="s">
        <v>20</v>
      </c>
      <c r="D429" t="s">
        <v>122</v>
      </c>
      <c r="E429" t="s">
        <v>35</v>
      </c>
      <c r="F429" s="9">
        <v>150</v>
      </c>
      <c r="G429" s="9">
        <v>17</v>
      </c>
      <c r="H429" s="9">
        <v>133</v>
      </c>
      <c r="I429" s="9">
        <v>196</v>
      </c>
      <c r="J429" s="9">
        <v>63</v>
      </c>
      <c r="K429" t="str">
        <f t="shared" si="11"/>
        <v>MEDIUM</v>
      </c>
      <c r="L429" t="s">
        <v>26</v>
      </c>
    </row>
    <row r="430" spans="1:12" x14ac:dyDescent="0.25">
      <c r="A430" t="s">
        <v>1253</v>
      </c>
      <c r="B430" t="s">
        <v>789</v>
      </c>
      <c r="C430" t="s">
        <v>434</v>
      </c>
      <c r="D430" t="s">
        <v>21</v>
      </c>
      <c r="E430" t="s">
        <v>62</v>
      </c>
      <c r="F430" s="9">
        <v>97</v>
      </c>
      <c r="G430" s="9">
        <v>26</v>
      </c>
      <c r="H430" s="9">
        <v>71</v>
      </c>
      <c r="I430" s="9">
        <v>133</v>
      </c>
      <c r="J430" s="9">
        <v>62</v>
      </c>
      <c r="K430" t="str">
        <f t="shared" si="11"/>
        <v>MEDIUM</v>
      </c>
      <c r="L430" t="s">
        <v>48</v>
      </c>
    </row>
    <row r="431" spans="1:12" x14ac:dyDescent="0.25">
      <c r="A431" t="s">
        <v>961</v>
      </c>
      <c r="B431" t="s">
        <v>789</v>
      </c>
      <c r="C431" t="s">
        <v>20</v>
      </c>
      <c r="D431" t="s">
        <v>790</v>
      </c>
      <c r="E431" t="s">
        <v>62</v>
      </c>
      <c r="F431" s="9">
        <v>159</v>
      </c>
      <c r="G431" s="9">
        <v>7</v>
      </c>
      <c r="H431" s="9">
        <v>152</v>
      </c>
      <c r="I431" s="9">
        <v>213</v>
      </c>
      <c r="J431" s="9">
        <v>61</v>
      </c>
      <c r="K431" t="str">
        <f t="shared" si="11"/>
        <v>MEDIUM</v>
      </c>
      <c r="L431" t="s">
        <v>26</v>
      </c>
    </row>
    <row r="432" spans="1:12" x14ac:dyDescent="0.25">
      <c r="A432" t="s">
        <v>1184</v>
      </c>
      <c r="B432" t="s">
        <v>789</v>
      </c>
      <c r="C432" t="s">
        <v>229</v>
      </c>
      <c r="D432" t="s">
        <v>171</v>
      </c>
      <c r="E432" t="s">
        <v>62</v>
      </c>
      <c r="F432" s="9">
        <v>126</v>
      </c>
      <c r="G432" s="9">
        <v>53</v>
      </c>
      <c r="H432" s="9">
        <v>73</v>
      </c>
      <c r="I432" s="9">
        <v>129</v>
      </c>
      <c r="J432" s="9">
        <v>56</v>
      </c>
      <c r="K432" t="str">
        <f t="shared" si="11"/>
        <v>MEDIUM</v>
      </c>
      <c r="L432" t="s">
        <v>26</v>
      </c>
    </row>
    <row r="433" spans="1:12" x14ac:dyDescent="0.25">
      <c r="A433" t="s">
        <v>1253</v>
      </c>
      <c r="B433" t="s">
        <v>789</v>
      </c>
      <c r="C433" t="s">
        <v>434</v>
      </c>
      <c r="D433" t="s">
        <v>21</v>
      </c>
      <c r="E433" t="s">
        <v>29</v>
      </c>
      <c r="F433" s="9">
        <v>267</v>
      </c>
      <c r="G433" s="9">
        <v>84</v>
      </c>
      <c r="H433" s="9">
        <v>183</v>
      </c>
      <c r="I433" s="9">
        <v>239</v>
      </c>
      <c r="J433" s="9">
        <v>56</v>
      </c>
      <c r="K433" t="str">
        <f t="shared" si="11"/>
        <v>MEDIUM</v>
      </c>
      <c r="L433" t="s">
        <v>26</v>
      </c>
    </row>
    <row r="434" spans="1:12" x14ac:dyDescent="0.25">
      <c r="A434" t="s">
        <v>1253</v>
      </c>
      <c r="B434" t="s">
        <v>789</v>
      </c>
      <c r="C434" t="s">
        <v>434</v>
      </c>
      <c r="D434" t="s">
        <v>21</v>
      </c>
      <c r="E434" t="s">
        <v>35</v>
      </c>
      <c r="F434" s="9">
        <v>156</v>
      </c>
      <c r="G434" s="9">
        <v>99</v>
      </c>
      <c r="H434" s="9">
        <v>57</v>
      </c>
      <c r="I434" s="9">
        <v>113</v>
      </c>
      <c r="J434" s="9">
        <v>56</v>
      </c>
      <c r="K434" t="str">
        <f t="shared" si="11"/>
        <v>MEDIUM</v>
      </c>
      <c r="L434" t="s">
        <v>48</v>
      </c>
    </row>
    <row r="435" spans="1:12" x14ac:dyDescent="0.25">
      <c r="A435" t="s">
        <v>803</v>
      </c>
      <c r="B435" t="s">
        <v>789</v>
      </c>
      <c r="C435" t="s">
        <v>601</v>
      </c>
      <c r="D435" t="s">
        <v>804</v>
      </c>
      <c r="E435" t="s">
        <v>35</v>
      </c>
      <c r="F435" s="9">
        <v>196</v>
      </c>
      <c r="G435" s="9">
        <v>9</v>
      </c>
      <c r="H435" s="9">
        <v>187</v>
      </c>
      <c r="I435" s="9">
        <v>242</v>
      </c>
      <c r="J435" s="9">
        <v>55</v>
      </c>
      <c r="K435" t="str">
        <f t="shared" si="11"/>
        <v>MEDIUM</v>
      </c>
      <c r="L435" t="s">
        <v>26</v>
      </c>
    </row>
    <row r="436" spans="1:12" x14ac:dyDescent="0.25">
      <c r="A436" t="s">
        <v>370</v>
      </c>
      <c r="B436" t="s">
        <v>18</v>
      </c>
      <c r="C436" t="s">
        <v>229</v>
      </c>
      <c r="D436" t="s">
        <v>171</v>
      </c>
      <c r="E436" t="s">
        <v>62</v>
      </c>
      <c r="F436" s="9">
        <v>125</v>
      </c>
      <c r="G436" s="9">
        <v>57</v>
      </c>
      <c r="H436" s="9">
        <v>68</v>
      </c>
      <c r="I436" s="9">
        <v>120</v>
      </c>
      <c r="J436" s="9">
        <v>52</v>
      </c>
      <c r="K436" t="str">
        <f t="shared" si="11"/>
        <v>MEDIUM</v>
      </c>
      <c r="L436" t="s">
        <v>26</v>
      </c>
    </row>
    <row r="437" spans="1:12" x14ac:dyDescent="0.25">
      <c r="A437" t="s">
        <v>1443</v>
      </c>
      <c r="B437" t="s">
        <v>789</v>
      </c>
      <c r="C437" t="s">
        <v>434</v>
      </c>
      <c r="D437" t="s">
        <v>830</v>
      </c>
      <c r="E437" t="s">
        <v>29</v>
      </c>
      <c r="F437" s="9">
        <v>176</v>
      </c>
      <c r="G437" s="9">
        <v>5</v>
      </c>
      <c r="H437" s="9">
        <v>171</v>
      </c>
      <c r="I437" s="9">
        <v>223</v>
      </c>
      <c r="J437" s="9">
        <v>52</v>
      </c>
      <c r="K437" t="str">
        <f t="shared" si="11"/>
        <v>MEDIUM</v>
      </c>
      <c r="L437" t="s">
        <v>26</v>
      </c>
    </row>
    <row r="438" spans="1:12" x14ac:dyDescent="0.25">
      <c r="A438" t="s">
        <v>1671</v>
      </c>
      <c r="B438" t="s">
        <v>1612</v>
      </c>
      <c r="C438" t="s">
        <v>20</v>
      </c>
      <c r="D438" t="s">
        <v>122</v>
      </c>
      <c r="E438" t="s">
        <v>83</v>
      </c>
      <c r="F438" s="9">
        <v>325</v>
      </c>
      <c r="G438" s="9">
        <v>61</v>
      </c>
      <c r="H438" s="9">
        <v>264</v>
      </c>
      <c r="I438" s="9">
        <v>316</v>
      </c>
      <c r="J438" s="9">
        <v>52</v>
      </c>
      <c r="K438" t="str">
        <f t="shared" si="11"/>
        <v>MEDIUM</v>
      </c>
      <c r="L438" t="s">
        <v>26</v>
      </c>
    </row>
    <row r="439" spans="1:12" x14ac:dyDescent="0.25">
      <c r="A439" t="s">
        <v>17</v>
      </c>
      <c r="B439" t="s">
        <v>18</v>
      </c>
      <c r="C439" t="s">
        <v>20</v>
      </c>
      <c r="D439" t="s">
        <v>21</v>
      </c>
      <c r="E439" t="s">
        <v>35</v>
      </c>
      <c r="F439" s="9">
        <v>143</v>
      </c>
      <c r="G439" s="9">
        <v>17</v>
      </c>
      <c r="H439" s="9">
        <v>126</v>
      </c>
      <c r="I439" s="9">
        <v>177</v>
      </c>
      <c r="J439" s="9">
        <v>51</v>
      </c>
      <c r="K439" t="str">
        <f t="shared" si="11"/>
        <v>MEDIUM</v>
      </c>
      <c r="L439" t="s">
        <v>48</v>
      </c>
    </row>
    <row r="440" spans="1:12" x14ac:dyDescent="0.25">
      <c r="A440" t="s">
        <v>554</v>
      </c>
      <c r="B440" t="s">
        <v>18</v>
      </c>
      <c r="C440" t="s">
        <v>434</v>
      </c>
      <c r="D440" t="s">
        <v>171</v>
      </c>
      <c r="E440" t="s">
        <v>83</v>
      </c>
      <c r="F440" s="9">
        <v>101</v>
      </c>
      <c r="G440" s="9">
        <v>40</v>
      </c>
      <c r="H440" s="9">
        <v>61</v>
      </c>
      <c r="I440" s="9">
        <v>112</v>
      </c>
      <c r="J440" s="9">
        <v>51</v>
      </c>
      <c r="K440" t="str">
        <f t="shared" si="11"/>
        <v>MEDIUM</v>
      </c>
      <c r="L440" t="s">
        <v>48</v>
      </c>
    </row>
    <row r="441" spans="1:12" x14ac:dyDescent="0.25">
      <c r="A441" t="s">
        <v>1230</v>
      </c>
      <c r="B441" t="s">
        <v>789</v>
      </c>
      <c r="C441" t="s">
        <v>229</v>
      </c>
      <c r="D441" t="s">
        <v>830</v>
      </c>
      <c r="E441" t="s">
        <v>62</v>
      </c>
      <c r="F441" s="9">
        <v>197</v>
      </c>
      <c r="G441" s="9">
        <v>1</v>
      </c>
      <c r="H441" s="9">
        <v>196</v>
      </c>
      <c r="I441" s="9">
        <v>247</v>
      </c>
      <c r="J441" s="9">
        <v>51</v>
      </c>
      <c r="K441" t="str">
        <f t="shared" si="11"/>
        <v>MEDIUM</v>
      </c>
      <c r="L441" t="s">
        <v>26</v>
      </c>
    </row>
    <row r="442" spans="1:12" x14ac:dyDescent="0.25">
      <c r="A442" t="s">
        <v>1500</v>
      </c>
      <c r="B442" t="s">
        <v>789</v>
      </c>
      <c r="C442" t="s">
        <v>601</v>
      </c>
      <c r="D442" t="s">
        <v>122</v>
      </c>
      <c r="E442" t="s">
        <v>62</v>
      </c>
      <c r="F442" s="9">
        <v>74</v>
      </c>
      <c r="G442" s="9">
        <v>25</v>
      </c>
      <c r="H442" s="9">
        <v>49</v>
      </c>
      <c r="I442" s="9">
        <v>100</v>
      </c>
      <c r="J442" s="9">
        <v>51</v>
      </c>
      <c r="K442" t="str">
        <f t="shared" si="11"/>
        <v>MEDIUM</v>
      </c>
      <c r="L442" t="s">
        <v>48</v>
      </c>
    </row>
    <row r="443" spans="1:12" x14ac:dyDescent="0.25">
      <c r="A443" t="s">
        <v>921</v>
      </c>
      <c r="B443" t="s">
        <v>789</v>
      </c>
      <c r="C443" t="s">
        <v>20</v>
      </c>
      <c r="D443" t="s">
        <v>122</v>
      </c>
      <c r="E443" t="s">
        <v>83</v>
      </c>
      <c r="F443" s="9">
        <v>157</v>
      </c>
      <c r="G443" s="9">
        <v>76</v>
      </c>
      <c r="H443" s="9">
        <v>81</v>
      </c>
      <c r="I443" s="9">
        <v>131</v>
      </c>
      <c r="J443" s="9">
        <v>50</v>
      </c>
      <c r="K443" t="str">
        <f t="shared" si="11"/>
        <v>MEDIUM</v>
      </c>
      <c r="L443" t="s">
        <v>26</v>
      </c>
    </row>
    <row r="444" spans="1:12" x14ac:dyDescent="0.25">
      <c r="A444" t="s">
        <v>1103</v>
      </c>
      <c r="B444" t="s">
        <v>789</v>
      </c>
      <c r="C444" t="s">
        <v>229</v>
      </c>
      <c r="D444" t="s">
        <v>122</v>
      </c>
      <c r="E444" t="s">
        <v>35</v>
      </c>
      <c r="F444" s="9">
        <v>158</v>
      </c>
      <c r="G444" s="9">
        <v>10</v>
      </c>
      <c r="H444" s="9">
        <v>148</v>
      </c>
      <c r="I444" s="9">
        <v>198</v>
      </c>
      <c r="J444" s="9">
        <v>50</v>
      </c>
      <c r="K444" t="str">
        <f t="shared" si="11"/>
        <v>MEDIUM</v>
      </c>
      <c r="L444" t="s">
        <v>26</v>
      </c>
    </row>
    <row r="445" spans="1:12" x14ac:dyDescent="0.25">
      <c r="A445" t="s">
        <v>1184</v>
      </c>
      <c r="B445" t="s">
        <v>789</v>
      </c>
      <c r="C445" t="s">
        <v>229</v>
      </c>
      <c r="D445" t="s">
        <v>171</v>
      </c>
      <c r="E445" t="s">
        <v>35</v>
      </c>
      <c r="F445" s="9">
        <v>175</v>
      </c>
      <c r="G445" s="9">
        <v>64</v>
      </c>
      <c r="H445" s="9">
        <v>111</v>
      </c>
      <c r="I445" s="9">
        <v>161</v>
      </c>
      <c r="J445" s="9">
        <v>50</v>
      </c>
      <c r="K445" t="str">
        <f t="shared" si="11"/>
        <v>MEDIUM</v>
      </c>
      <c r="L445" t="s">
        <v>48</v>
      </c>
    </row>
    <row r="446" spans="1:12" x14ac:dyDescent="0.25">
      <c r="A446" t="s">
        <v>370</v>
      </c>
      <c r="B446" t="s">
        <v>18</v>
      </c>
      <c r="C446" t="s">
        <v>229</v>
      </c>
      <c r="D446" t="s">
        <v>171</v>
      </c>
      <c r="E446" t="s">
        <v>83</v>
      </c>
      <c r="F446" s="9">
        <v>182</v>
      </c>
      <c r="G446" s="9">
        <v>0</v>
      </c>
      <c r="H446" s="9">
        <v>182</v>
      </c>
      <c r="I446" s="9">
        <v>231</v>
      </c>
      <c r="J446" s="9">
        <v>49</v>
      </c>
      <c r="K446" t="str">
        <f t="shared" si="11"/>
        <v>MEDIUM</v>
      </c>
      <c r="L446" t="s">
        <v>48</v>
      </c>
    </row>
    <row r="447" spans="1:12" x14ac:dyDescent="0.25">
      <c r="A447" t="s">
        <v>1400</v>
      </c>
      <c r="B447" t="s">
        <v>789</v>
      </c>
      <c r="C447" t="s">
        <v>434</v>
      </c>
      <c r="D447" t="s">
        <v>171</v>
      </c>
      <c r="E447" t="s">
        <v>62</v>
      </c>
      <c r="F447" s="9">
        <v>160</v>
      </c>
      <c r="G447" s="9">
        <v>23</v>
      </c>
      <c r="H447" s="9">
        <v>137</v>
      </c>
      <c r="I447" s="9">
        <v>186</v>
      </c>
      <c r="J447" s="9">
        <v>49</v>
      </c>
      <c r="K447" t="str">
        <f t="shared" si="11"/>
        <v>MEDIUM</v>
      </c>
      <c r="L447" t="s">
        <v>48</v>
      </c>
    </row>
    <row r="448" spans="1:12" x14ac:dyDescent="0.25">
      <c r="A448" t="s">
        <v>675</v>
      </c>
      <c r="B448" t="s">
        <v>18</v>
      </c>
      <c r="C448" t="s">
        <v>601</v>
      </c>
      <c r="D448" t="s">
        <v>122</v>
      </c>
      <c r="E448" t="s">
        <v>83</v>
      </c>
      <c r="F448" s="9">
        <v>159</v>
      </c>
      <c r="G448" s="9">
        <v>29</v>
      </c>
      <c r="H448" s="9">
        <v>130</v>
      </c>
      <c r="I448" s="9">
        <v>176</v>
      </c>
      <c r="J448" s="9">
        <v>46</v>
      </c>
      <c r="K448" t="str">
        <f t="shared" si="11"/>
        <v>MEDIUM</v>
      </c>
      <c r="L448" t="s">
        <v>48</v>
      </c>
    </row>
    <row r="449" spans="1:12" x14ac:dyDescent="0.25">
      <c r="A449" t="s">
        <v>855</v>
      </c>
      <c r="B449" t="s">
        <v>789</v>
      </c>
      <c r="C449" t="s">
        <v>20</v>
      </c>
      <c r="D449" t="s">
        <v>21</v>
      </c>
      <c r="E449" t="s">
        <v>62</v>
      </c>
      <c r="F449" s="9">
        <v>152</v>
      </c>
      <c r="G449" s="9">
        <v>17</v>
      </c>
      <c r="H449" s="9">
        <v>135</v>
      </c>
      <c r="I449" s="9">
        <v>180</v>
      </c>
      <c r="J449" s="9">
        <v>45</v>
      </c>
      <c r="K449" t="str">
        <f t="shared" si="11"/>
        <v>MEDIUM</v>
      </c>
      <c r="L449" t="s">
        <v>26</v>
      </c>
    </row>
    <row r="450" spans="1:12" x14ac:dyDescent="0.25">
      <c r="A450" t="s">
        <v>2510</v>
      </c>
      <c r="B450" t="s">
        <v>2170</v>
      </c>
      <c r="C450" t="s">
        <v>2460</v>
      </c>
      <c r="D450" t="s">
        <v>122</v>
      </c>
      <c r="E450" t="s">
        <v>83</v>
      </c>
      <c r="F450" s="9">
        <v>328</v>
      </c>
      <c r="G450" s="9">
        <v>57</v>
      </c>
      <c r="H450" s="9">
        <v>271</v>
      </c>
      <c r="I450" s="9">
        <v>316</v>
      </c>
      <c r="J450" s="9">
        <v>45</v>
      </c>
      <c r="K450" t="str">
        <f t="shared" si="11"/>
        <v>MEDIUM</v>
      </c>
      <c r="L450" t="s">
        <v>26</v>
      </c>
    </row>
    <row r="451" spans="1:12" x14ac:dyDescent="0.25">
      <c r="A451" t="s">
        <v>2550</v>
      </c>
      <c r="B451" t="s">
        <v>2170</v>
      </c>
      <c r="C451" t="s">
        <v>2460</v>
      </c>
      <c r="D451" t="s">
        <v>171</v>
      </c>
      <c r="E451" t="s">
        <v>35</v>
      </c>
      <c r="F451" s="9">
        <v>268</v>
      </c>
      <c r="G451" s="9">
        <v>51</v>
      </c>
      <c r="H451" s="9">
        <v>217</v>
      </c>
      <c r="I451" s="9">
        <v>262</v>
      </c>
      <c r="J451" s="9">
        <v>45</v>
      </c>
      <c r="K451" t="str">
        <f t="shared" si="11"/>
        <v>MEDIUM</v>
      </c>
      <c r="L451" t="s">
        <v>48</v>
      </c>
    </row>
    <row r="452" spans="1:12" x14ac:dyDescent="0.25">
      <c r="A452" t="s">
        <v>491</v>
      </c>
      <c r="B452" t="s">
        <v>18</v>
      </c>
      <c r="C452" t="s">
        <v>434</v>
      </c>
      <c r="D452" t="s">
        <v>122</v>
      </c>
      <c r="E452" t="s">
        <v>35</v>
      </c>
      <c r="F452" s="9">
        <v>152</v>
      </c>
      <c r="G452" s="9">
        <v>93</v>
      </c>
      <c r="H452" s="9">
        <v>59</v>
      </c>
      <c r="I452" s="9">
        <v>103</v>
      </c>
      <c r="J452" s="9">
        <v>44</v>
      </c>
      <c r="K452" t="str">
        <f t="shared" si="11"/>
        <v>MEDIUM</v>
      </c>
      <c r="L452" t="s">
        <v>26</v>
      </c>
    </row>
    <row r="453" spans="1:12" x14ac:dyDescent="0.25">
      <c r="A453" t="s">
        <v>2109</v>
      </c>
      <c r="B453" t="s">
        <v>1612</v>
      </c>
      <c r="C453" t="s">
        <v>601</v>
      </c>
      <c r="D453" t="s">
        <v>122</v>
      </c>
      <c r="E453" t="s">
        <v>62</v>
      </c>
      <c r="F453" s="9">
        <v>357</v>
      </c>
      <c r="G453" s="9">
        <v>83</v>
      </c>
      <c r="H453" s="9">
        <v>274</v>
      </c>
      <c r="I453" s="9">
        <v>316</v>
      </c>
      <c r="J453" s="9">
        <v>42</v>
      </c>
      <c r="K453" t="str">
        <f t="shared" si="11"/>
        <v>MEDIUM</v>
      </c>
      <c r="L453" t="s">
        <v>48</v>
      </c>
    </row>
    <row r="454" spans="1:12" x14ac:dyDescent="0.25">
      <c r="A454" t="s">
        <v>370</v>
      </c>
      <c r="B454" t="s">
        <v>18</v>
      </c>
      <c r="C454" t="s">
        <v>229</v>
      </c>
      <c r="D454" t="s">
        <v>171</v>
      </c>
      <c r="E454" t="s">
        <v>35</v>
      </c>
      <c r="F454" s="9">
        <v>90</v>
      </c>
      <c r="G454" s="9">
        <v>22</v>
      </c>
      <c r="H454" s="9">
        <v>68</v>
      </c>
      <c r="I454" s="9">
        <v>109</v>
      </c>
      <c r="J454" s="9">
        <v>41</v>
      </c>
      <c r="K454" t="str">
        <f t="shared" si="11"/>
        <v>MEDIUM</v>
      </c>
      <c r="L454" t="s">
        <v>26</v>
      </c>
    </row>
    <row r="455" spans="1:12" x14ac:dyDescent="0.25">
      <c r="A455" t="s">
        <v>1500</v>
      </c>
      <c r="B455" t="s">
        <v>789</v>
      </c>
      <c r="C455" t="s">
        <v>601</v>
      </c>
      <c r="D455" t="s">
        <v>122</v>
      </c>
      <c r="E455" t="s">
        <v>62</v>
      </c>
      <c r="F455" s="9">
        <v>155</v>
      </c>
      <c r="G455" s="9">
        <v>35</v>
      </c>
      <c r="H455" s="9">
        <v>120</v>
      </c>
      <c r="I455" s="9">
        <v>161</v>
      </c>
      <c r="J455" s="9">
        <v>41</v>
      </c>
      <c r="K455" t="str">
        <f t="shared" si="11"/>
        <v>MEDIUM</v>
      </c>
      <c r="L455" t="s">
        <v>26</v>
      </c>
    </row>
    <row r="456" spans="1:12" x14ac:dyDescent="0.25">
      <c r="A456" t="s">
        <v>170</v>
      </c>
      <c r="B456" t="s">
        <v>18</v>
      </c>
      <c r="C456" t="s">
        <v>20</v>
      </c>
      <c r="D456" t="s">
        <v>171</v>
      </c>
      <c r="E456" t="s">
        <v>35</v>
      </c>
      <c r="F456" s="9">
        <v>150</v>
      </c>
      <c r="G456" s="9">
        <v>17</v>
      </c>
      <c r="H456" s="9">
        <v>133</v>
      </c>
      <c r="I456" s="9">
        <v>171</v>
      </c>
      <c r="J456" s="9">
        <v>38</v>
      </c>
      <c r="K456" t="str">
        <f t="shared" si="11"/>
        <v>MEDIUM</v>
      </c>
      <c r="L456" t="s">
        <v>48</v>
      </c>
    </row>
    <row r="457" spans="1:12" x14ac:dyDescent="0.25">
      <c r="A457" t="s">
        <v>1500</v>
      </c>
      <c r="B457" t="s">
        <v>789</v>
      </c>
      <c r="C457" t="s">
        <v>601</v>
      </c>
      <c r="D457" t="s">
        <v>122</v>
      </c>
      <c r="E457" t="s">
        <v>83</v>
      </c>
      <c r="F457" s="9">
        <v>136</v>
      </c>
      <c r="G457" s="9">
        <v>0</v>
      </c>
      <c r="H457" s="9">
        <v>136</v>
      </c>
      <c r="I457" s="9">
        <v>174</v>
      </c>
      <c r="J457" s="9">
        <v>38</v>
      </c>
      <c r="K457" t="str">
        <f t="shared" si="11"/>
        <v>MEDIUM</v>
      </c>
      <c r="L457" t="s">
        <v>26</v>
      </c>
    </row>
    <row r="458" spans="1:12" x14ac:dyDescent="0.25">
      <c r="A458" t="s">
        <v>17</v>
      </c>
      <c r="B458" t="s">
        <v>18</v>
      </c>
      <c r="C458" t="s">
        <v>20</v>
      </c>
      <c r="D458" t="s">
        <v>21</v>
      </c>
      <c r="E458" t="s">
        <v>83</v>
      </c>
      <c r="F458" s="9">
        <v>139</v>
      </c>
      <c r="G458" s="9">
        <v>62</v>
      </c>
      <c r="H458" s="9">
        <v>77</v>
      </c>
      <c r="I458" s="9">
        <v>114</v>
      </c>
      <c r="J458" s="9">
        <v>37</v>
      </c>
      <c r="K458" t="str">
        <f t="shared" si="11"/>
        <v>MEDIUM</v>
      </c>
      <c r="L458" t="s">
        <v>48</v>
      </c>
    </row>
    <row r="459" spans="1:12" x14ac:dyDescent="0.25">
      <c r="A459" t="s">
        <v>491</v>
      </c>
      <c r="B459" t="s">
        <v>18</v>
      </c>
      <c r="C459" t="s">
        <v>434</v>
      </c>
      <c r="D459" t="s">
        <v>122</v>
      </c>
      <c r="E459" t="s">
        <v>62</v>
      </c>
      <c r="F459" s="9">
        <v>123</v>
      </c>
      <c r="G459" s="9">
        <v>36</v>
      </c>
      <c r="H459" s="9">
        <v>87</v>
      </c>
      <c r="I459" s="9">
        <v>124</v>
      </c>
      <c r="J459" s="9">
        <v>37</v>
      </c>
      <c r="K459" t="str">
        <f t="shared" si="11"/>
        <v>MEDIUM</v>
      </c>
      <c r="L459" t="s">
        <v>26</v>
      </c>
    </row>
    <row r="460" spans="1:12" x14ac:dyDescent="0.25">
      <c r="A460" t="s">
        <v>2416</v>
      </c>
      <c r="B460" t="s">
        <v>2170</v>
      </c>
      <c r="C460" t="s">
        <v>2311</v>
      </c>
      <c r="D460" t="s">
        <v>171</v>
      </c>
      <c r="E460" t="s">
        <v>62</v>
      </c>
      <c r="F460" s="9">
        <v>355</v>
      </c>
      <c r="G460" s="9">
        <v>38</v>
      </c>
      <c r="H460" s="9">
        <v>317</v>
      </c>
      <c r="I460" s="9">
        <v>352</v>
      </c>
      <c r="J460" s="9">
        <v>35</v>
      </c>
      <c r="K460" t="str">
        <f t="shared" si="11"/>
        <v>MEDIUM</v>
      </c>
      <c r="L460" t="s">
        <v>26</v>
      </c>
    </row>
    <row r="461" spans="1:12" x14ac:dyDescent="0.25">
      <c r="A461" t="s">
        <v>1058</v>
      </c>
      <c r="B461" t="s">
        <v>789</v>
      </c>
      <c r="C461" t="s">
        <v>229</v>
      </c>
      <c r="D461" t="s">
        <v>21</v>
      </c>
      <c r="E461" t="s">
        <v>62</v>
      </c>
      <c r="F461" s="9">
        <v>112</v>
      </c>
      <c r="G461" s="9">
        <v>34</v>
      </c>
      <c r="H461" s="9">
        <v>78</v>
      </c>
      <c r="I461" s="9">
        <v>112</v>
      </c>
      <c r="J461" s="9">
        <v>34</v>
      </c>
      <c r="K461" t="str">
        <f t="shared" si="11"/>
        <v>MEDIUM</v>
      </c>
      <c r="L461" t="s">
        <v>26</v>
      </c>
    </row>
    <row r="462" spans="1:12" x14ac:dyDescent="0.25">
      <c r="A462" t="s">
        <v>1058</v>
      </c>
      <c r="B462" t="s">
        <v>789</v>
      </c>
      <c r="C462" t="s">
        <v>229</v>
      </c>
      <c r="D462" t="s">
        <v>21</v>
      </c>
      <c r="E462" t="s">
        <v>83</v>
      </c>
      <c r="F462" s="9">
        <v>79</v>
      </c>
      <c r="G462" s="9">
        <v>5</v>
      </c>
      <c r="H462" s="9">
        <v>74</v>
      </c>
      <c r="I462" s="9">
        <v>107</v>
      </c>
      <c r="J462" s="9">
        <v>33</v>
      </c>
      <c r="K462" t="str">
        <f t="shared" si="11"/>
        <v>MEDIUM</v>
      </c>
      <c r="L462" t="s">
        <v>26</v>
      </c>
    </row>
    <row r="463" spans="1:12" x14ac:dyDescent="0.25">
      <c r="A463" t="s">
        <v>2459</v>
      </c>
      <c r="B463" t="s">
        <v>2170</v>
      </c>
      <c r="C463" t="s">
        <v>2460</v>
      </c>
      <c r="D463" t="s">
        <v>21</v>
      </c>
      <c r="E463" t="s">
        <v>62</v>
      </c>
      <c r="F463" s="9">
        <v>317</v>
      </c>
      <c r="G463" s="9">
        <v>76</v>
      </c>
      <c r="H463" s="9">
        <v>241</v>
      </c>
      <c r="I463" s="9">
        <v>274</v>
      </c>
      <c r="J463" s="9">
        <v>33</v>
      </c>
      <c r="K463" t="str">
        <f t="shared" si="11"/>
        <v>MEDIUM</v>
      </c>
      <c r="L463" t="s">
        <v>26</v>
      </c>
    </row>
    <row r="464" spans="1:12" x14ac:dyDescent="0.25">
      <c r="A464" t="s">
        <v>675</v>
      </c>
      <c r="B464" t="s">
        <v>18</v>
      </c>
      <c r="C464" t="s">
        <v>601</v>
      </c>
      <c r="D464" t="s">
        <v>122</v>
      </c>
      <c r="E464" t="s">
        <v>62</v>
      </c>
      <c r="F464" s="9">
        <v>139</v>
      </c>
      <c r="G464" s="9">
        <v>61</v>
      </c>
      <c r="H464" s="9">
        <v>78</v>
      </c>
      <c r="I464" s="9">
        <v>110</v>
      </c>
      <c r="J464" s="9">
        <v>32</v>
      </c>
      <c r="K464" t="str">
        <f t="shared" si="11"/>
        <v>MEDIUM</v>
      </c>
      <c r="L464" t="s">
        <v>26</v>
      </c>
    </row>
    <row r="465" spans="1:12" x14ac:dyDescent="0.25">
      <c r="A465" t="s">
        <v>675</v>
      </c>
      <c r="B465" t="s">
        <v>18</v>
      </c>
      <c r="C465" t="s">
        <v>601</v>
      </c>
      <c r="D465" t="s">
        <v>122</v>
      </c>
      <c r="E465" t="s">
        <v>83</v>
      </c>
      <c r="F465" s="9">
        <v>168</v>
      </c>
      <c r="G465" s="9">
        <v>2</v>
      </c>
      <c r="H465" s="9">
        <v>166</v>
      </c>
      <c r="I465" s="9">
        <v>196</v>
      </c>
      <c r="J465" s="9">
        <v>30</v>
      </c>
      <c r="K465" t="str">
        <f t="shared" si="11"/>
        <v>MEDIUM</v>
      </c>
      <c r="L465" t="s">
        <v>26</v>
      </c>
    </row>
    <row r="466" spans="1:12" x14ac:dyDescent="0.25">
      <c r="A466" t="s">
        <v>2510</v>
      </c>
      <c r="B466" t="s">
        <v>2170</v>
      </c>
      <c r="C466" t="s">
        <v>2460</v>
      </c>
      <c r="D466" t="s">
        <v>122</v>
      </c>
      <c r="E466" t="s">
        <v>35</v>
      </c>
      <c r="F466" s="9">
        <v>369</v>
      </c>
      <c r="G466" s="9">
        <v>63</v>
      </c>
      <c r="H466" s="9">
        <v>306</v>
      </c>
      <c r="I466" s="9">
        <v>335</v>
      </c>
      <c r="J466" s="9">
        <v>29</v>
      </c>
      <c r="K466" t="str">
        <f t="shared" si="11"/>
        <v>MEDIUM</v>
      </c>
      <c r="L466" t="s">
        <v>26</v>
      </c>
    </row>
    <row r="467" spans="1:12" x14ac:dyDescent="0.25">
      <c r="A467" t="s">
        <v>1319</v>
      </c>
      <c r="B467" t="s">
        <v>789</v>
      </c>
      <c r="C467" t="s">
        <v>434</v>
      </c>
      <c r="D467" t="s">
        <v>122</v>
      </c>
      <c r="E467" t="s">
        <v>35</v>
      </c>
      <c r="F467" s="9">
        <v>169</v>
      </c>
      <c r="G467" s="9">
        <v>27</v>
      </c>
      <c r="H467" s="9">
        <v>142</v>
      </c>
      <c r="I467" s="9">
        <v>170</v>
      </c>
      <c r="J467" s="9">
        <v>28</v>
      </c>
      <c r="K467" t="str">
        <f t="shared" si="11"/>
        <v>MEDIUM</v>
      </c>
      <c r="L467" t="s">
        <v>48</v>
      </c>
    </row>
    <row r="468" spans="1:12" x14ac:dyDescent="0.25">
      <c r="A468" t="s">
        <v>1058</v>
      </c>
      <c r="B468" t="s">
        <v>789</v>
      </c>
      <c r="C468" t="s">
        <v>229</v>
      </c>
      <c r="D468" t="s">
        <v>21</v>
      </c>
      <c r="E468" t="s">
        <v>35</v>
      </c>
      <c r="F468" s="9">
        <v>168</v>
      </c>
      <c r="G468" s="9">
        <v>87</v>
      </c>
      <c r="H468" s="9">
        <v>81</v>
      </c>
      <c r="I468" s="9">
        <v>108</v>
      </c>
      <c r="J468" s="9">
        <v>27</v>
      </c>
      <c r="K468" t="str">
        <f t="shared" si="11"/>
        <v>MEDIUM</v>
      </c>
      <c r="L468" t="s">
        <v>26</v>
      </c>
    </row>
    <row r="469" spans="1:12" x14ac:dyDescent="0.25">
      <c r="A469" t="s">
        <v>1990</v>
      </c>
      <c r="B469" t="s">
        <v>1612</v>
      </c>
      <c r="C469" t="s">
        <v>434</v>
      </c>
      <c r="D469" t="s">
        <v>122</v>
      </c>
      <c r="E469" t="s">
        <v>62</v>
      </c>
      <c r="F469" s="9">
        <v>379</v>
      </c>
      <c r="G469" s="9">
        <v>17</v>
      </c>
      <c r="H469" s="9">
        <v>362</v>
      </c>
      <c r="I469" s="9">
        <v>389</v>
      </c>
      <c r="J469" s="9">
        <v>27</v>
      </c>
      <c r="K469" t="str">
        <f t="shared" si="11"/>
        <v>MEDIUM</v>
      </c>
      <c r="L469" t="s">
        <v>26</v>
      </c>
    </row>
    <row r="470" spans="1:12" x14ac:dyDescent="0.25">
      <c r="A470" t="s">
        <v>2628</v>
      </c>
      <c r="B470" t="s">
        <v>2170</v>
      </c>
      <c r="C470" t="s">
        <v>2589</v>
      </c>
      <c r="D470" t="s">
        <v>122</v>
      </c>
      <c r="E470" t="s">
        <v>35</v>
      </c>
      <c r="F470" s="9">
        <v>262</v>
      </c>
      <c r="G470" s="9">
        <v>56</v>
      </c>
      <c r="H470" s="9">
        <v>206</v>
      </c>
      <c r="I470" s="9">
        <v>232</v>
      </c>
      <c r="J470" s="9">
        <v>26</v>
      </c>
      <c r="K470" t="str">
        <f t="shared" si="11"/>
        <v>MEDIUM</v>
      </c>
      <c r="L470" t="s">
        <v>26</v>
      </c>
    </row>
    <row r="471" spans="1:12" x14ac:dyDescent="0.25">
      <c r="A471" t="s">
        <v>2368</v>
      </c>
      <c r="B471" t="s">
        <v>2170</v>
      </c>
      <c r="C471" t="s">
        <v>2311</v>
      </c>
      <c r="D471" t="s">
        <v>122</v>
      </c>
      <c r="E471" t="s">
        <v>35</v>
      </c>
      <c r="F471" s="9">
        <v>356</v>
      </c>
      <c r="G471" s="9">
        <v>16</v>
      </c>
      <c r="H471" s="9">
        <v>340</v>
      </c>
      <c r="I471" s="9">
        <v>365</v>
      </c>
      <c r="J471" s="9">
        <v>25</v>
      </c>
      <c r="K471" t="str">
        <f t="shared" si="11"/>
        <v>MEDIUM</v>
      </c>
      <c r="L471" t="s">
        <v>26</v>
      </c>
    </row>
    <row r="472" spans="1:12" x14ac:dyDescent="0.25">
      <c r="A472" t="s">
        <v>491</v>
      </c>
      <c r="B472" t="s">
        <v>18</v>
      </c>
      <c r="C472" t="s">
        <v>434</v>
      </c>
      <c r="D472" t="s">
        <v>122</v>
      </c>
      <c r="E472" t="s">
        <v>83</v>
      </c>
      <c r="F472" s="9">
        <v>145</v>
      </c>
      <c r="G472" s="9">
        <v>30</v>
      </c>
      <c r="H472" s="9">
        <v>115</v>
      </c>
      <c r="I472" s="9">
        <v>138</v>
      </c>
      <c r="J472" s="9">
        <v>23</v>
      </c>
      <c r="K472" t="str">
        <f t="shared" si="11"/>
        <v>MEDIUM</v>
      </c>
      <c r="L472" t="s">
        <v>26</v>
      </c>
    </row>
    <row r="473" spans="1:12" x14ac:dyDescent="0.25">
      <c r="A473" t="s">
        <v>1253</v>
      </c>
      <c r="B473" t="s">
        <v>789</v>
      </c>
      <c r="C473" t="s">
        <v>434</v>
      </c>
      <c r="D473" t="s">
        <v>21</v>
      </c>
      <c r="E473" t="s">
        <v>83</v>
      </c>
      <c r="F473" s="9">
        <v>116</v>
      </c>
      <c r="G473" s="9">
        <v>17</v>
      </c>
      <c r="H473" s="9">
        <v>99</v>
      </c>
      <c r="I473" s="9">
        <v>122</v>
      </c>
      <c r="J473" s="9">
        <v>23</v>
      </c>
      <c r="K473" t="str">
        <f t="shared" si="11"/>
        <v>MEDIUM</v>
      </c>
      <c r="L473" t="s">
        <v>26</v>
      </c>
    </row>
    <row r="474" spans="1:12" x14ac:dyDescent="0.25">
      <c r="A474" t="s">
        <v>2169</v>
      </c>
      <c r="B474" t="s">
        <v>2170</v>
      </c>
      <c r="C474" t="s">
        <v>2172</v>
      </c>
      <c r="D474" t="s">
        <v>21</v>
      </c>
      <c r="E474" t="s">
        <v>35</v>
      </c>
      <c r="F474" s="9">
        <v>249</v>
      </c>
      <c r="G474" s="9">
        <v>55</v>
      </c>
      <c r="H474" s="9">
        <v>194</v>
      </c>
      <c r="I474" s="9">
        <v>216</v>
      </c>
      <c r="J474" s="9">
        <v>22</v>
      </c>
      <c r="K474" t="str">
        <f t="shared" si="11"/>
        <v>MEDIUM</v>
      </c>
      <c r="L474" t="s">
        <v>48</v>
      </c>
    </row>
    <row r="475" spans="1:12" x14ac:dyDescent="0.25">
      <c r="A475" t="s">
        <v>855</v>
      </c>
      <c r="B475" t="s">
        <v>789</v>
      </c>
      <c r="C475" t="s">
        <v>20</v>
      </c>
      <c r="D475" t="s">
        <v>21</v>
      </c>
      <c r="E475" t="s">
        <v>83</v>
      </c>
      <c r="F475" s="9">
        <v>141</v>
      </c>
      <c r="G475" s="9">
        <v>31</v>
      </c>
      <c r="H475" s="9">
        <v>110</v>
      </c>
      <c r="I475" s="9">
        <v>130</v>
      </c>
      <c r="J475" s="9">
        <v>20</v>
      </c>
      <c r="K475" t="str">
        <f t="shared" si="11"/>
        <v>MEDIUM</v>
      </c>
      <c r="L475" t="s">
        <v>26</v>
      </c>
    </row>
    <row r="476" spans="1:12" x14ac:dyDescent="0.25">
      <c r="A476" t="s">
        <v>1834</v>
      </c>
      <c r="B476" t="s">
        <v>1612</v>
      </c>
      <c r="C476" t="s">
        <v>229</v>
      </c>
      <c r="D476" t="s">
        <v>122</v>
      </c>
      <c r="E476" t="s">
        <v>83</v>
      </c>
      <c r="F476" s="9">
        <v>381</v>
      </c>
      <c r="G476" s="9">
        <v>58</v>
      </c>
      <c r="H476" s="9">
        <v>323</v>
      </c>
      <c r="I476" s="9">
        <v>341</v>
      </c>
      <c r="J476" s="9">
        <v>18</v>
      </c>
      <c r="K476" t="str">
        <f t="shared" si="11"/>
        <v>MEDIUM</v>
      </c>
      <c r="L476" t="s">
        <v>26</v>
      </c>
    </row>
    <row r="477" spans="1:12" x14ac:dyDescent="0.25">
      <c r="A477" t="s">
        <v>1465</v>
      </c>
      <c r="B477" t="s">
        <v>789</v>
      </c>
      <c r="C477" t="s">
        <v>601</v>
      </c>
      <c r="D477" t="s">
        <v>21</v>
      </c>
      <c r="E477" t="s">
        <v>83</v>
      </c>
      <c r="F477" s="9">
        <v>120</v>
      </c>
      <c r="G477" s="9">
        <v>17</v>
      </c>
      <c r="H477" s="9">
        <v>103</v>
      </c>
      <c r="I477" s="9">
        <v>120</v>
      </c>
      <c r="J477" s="9">
        <v>17</v>
      </c>
      <c r="K477" t="str">
        <f t="shared" si="11"/>
        <v>MEDIUM</v>
      </c>
      <c r="L477" t="s">
        <v>26</v>
      </c>
    </row>
    <row r="478" spans="1:12" x14ac:dyDescent="0.25">
      <c r="A478" t="s">
        <v>2510</v>
      </c>
      <c r="B478" t="s">
        <v>2170</v>
      </c>
      <c r="C478" t="s">
        <v>2460</v>
      </c>
      <c r="D478" t="s">
        <v>122</v>
      </c>
      <c r="E478" t="s">
        <v>83</v>
      </c>
      <c r="F478" s="9">
        <v>362</v>
      </c>
      <c r="G478" s="9">
        <v>84</v>
      </c>
      <c r="H478" s="9">
        <v>278</v>
      </c>
      <c r="I478" s="9">
        <v>295</v>
      </c>
      <c r="J478" s="9">
        <v>17</v>
      </c>
      <c r="K478" t="str">
        <f t="shared" si="11"/>
        <v>MEDIUM</v>
      </c>
      <c r="L478" t="s">
        <v>26</v>
      </c>
    </row>
    <row r="479" spans="1:12" x14ac:dyDescent="0.25">
      <c r="A479" t="s">
        <v>1710</v>
      </c>
      <c r="B479" t="s">
        <v>1612</v>
      </c>
      <c r="C479" t="s">
        <v>20</v>
      </c>
      <c r="D479" t="s">
        <v>171</v>
      </c>
      <c r="E479" t="s">
        <v>62</v>
      </c>
      <c r="F479" s="9">
        <v>243</v>
      </c>
      <c r="G479" s="9">
        <v>28</v>
      </c>
      <c r="H479" s="9">
        <v>215</v>
      </c>
      <c r="I479" s="9">
        <v>231</v>
      </c>
      <c r="J479" s="9">
        <v>16</v>
      </c>
      <c r="K479" t="str">
        <f t="shared" si="11"/>
        <v>MEDIUM</v>
      </c>
      <c r="L479" t="s">
        <v>26</v>
      </c>
    </row>
    <row r="480" spans="1:12" x14ac:dyDescent="0.25">
      <c r="A480" t="s">
        <v>2550</v>
      </c>
      <c r="B480" t="s">
        <v>2170</v>
      </c>
      <c r="C480" t="s">
        <v>2460</v>
      </c>
      <c r="D480" t="s">
        <v>171</v>
      </c>
      <c r="E480" t="s">
        <v>83</v>
      </c>
      <c r="F480" s="9">
        <v>296</v>
      </c>
      <c r="G480" s="9">
        <v>33</v>
      </c>
      <c r="H480" s="9">
        <v>263</v>
      </c>
      <c r="I480" s="9">
        <v>278</v>
      </c>
      <c r="J480" s="9">
        <v>15</v>
      </c>
      <c r="K480" t="str">
        <f t="shared" si="11"/>
        <v>MEDIUM</v>
      </c>
      <c r="L480" t="s">
        <v>48</v>
      </c>
    </row>
    <row r="481" spans="1:12" x14ac:dyDescent="0.25">
      <c r="A481" t="s">
        <v>2416</v>
      </c>
      <c r="B481" t="s">
        <v>2170</v>
      </c>
      <c r="C481" t="s">
        <v>2311</v>
      </c>
      <c r="D481" t="s">
        <v>171</v>
      </c>
      <c r="E481" t="s">
        <v>62</v>
      </c>
      <c r="F481" s="9">
        <v>392</v>
      </c>
      <c r="G481" s="9">
        <v>26</v>
      </c>
      <c r="H481" s="9">
        <v>366</v>
      </c>
      <c r="I481" s="9">
        <v>379</v>
      </c>
      <c r="J481" s="9">
        <v>13</v>
      </c>
      <c r="K481" t="str">
        <f t="shared" ref="K481:K486" si="12">IF(H481=0,"CRITICAL",IF(J481&gt;200,"HIGH","MEDIUM"))</f>
        <v>MEDIUM</v>
      </c>
      <c r="L481" t="s">
        <v>48</v>
      </c>
    </row>
    <row r="482" spans="1:12" x14ac:dyDescent="0.25">
      <c r="A482" t="s">
        <v>1611</v>
      </c>
      <c r="B482" t="s">
        <v>1612</v>
      </c>
      <c r="C482" t="s">
        <v>20</v>
      </c>
      <c r="D482" t="s">
        <v>21</v>
      </c>
      <c r="E482" t="s">
        <v>83</v>
      </c>
      <c r="F482" s="9">
        <v>374</v>
      </c>
      <c r="G482" s="9">
        <v>29</v>
      </c>
      <c r="H482" s="9">
        <v>345</v>
      </c>
      <c r="I482" s="9">
        <v>355</v>
      </c>
      <c r="J482" s="9">
        <v>10</v>
      </c>
      <c r="K482" t="str">
        <f t="shared" si="12"/>
        <v>MEDIUM</v>
      </c>
      <c r="L482" t="s">
        <v>48</v>
      </c>
    </row>
    <row r="483" spans="1:12" x14ac:dyDescent="0.25">
      <c r="A483" t="s">
        <v>17</v>
      </c>
      <c r="B483" t="s">
        <v>18</v>
      </c>
      <c r="C483" t="s">
        <v>20</v>
      </c>
      <c r="D483" t="s">
        <v>21</v>
      </c>
      <c r="E483" t="s">
        <v>83</v>
      </c>
      <c r="F483" s="9">
        <v>124</v>
      </c>
      <c r="G483" s="9">
        <v>13</v>
      </c>
      <c r="H483" s="9">
        <v>111</v>
      </c>
      <c r="I483" s="9">
        <v>119</v>
      </c>
      <c r="J483" s="9">
        <v>8</v>
      </c>
      <c r="K483" t="str">
        <f t="shared" si="12"/>
        <v>MEDIUM</v>
      </c>
      <c r="L483" t="s">
        <v>48</v>
      </c>
    </row>
    <row r="484" spans="1:12" x14ac:dyDescent="0.25">
      <c r="A484" t="s">
        <v>2310</v>
      </c>
      <c r="B484" t="s">
        <v>2170</v>
      </c>
      <c r="C484" t="s">
        <v>2311</v>
      </c>
      <c r="D484" t="s">
        <v>21</v>
      </c>
      <c r="E484" t="s">
        <v>29</v>
      </c>
      <c r="F484" s="9">
        <v>452</v>
      </c>
      <c r="G484" s="9">
        <v>4</v>
      </c>
      <c r="H484" s="9">
        <v>448</v>
      </c>
      <c r="I484" s="9">
        <v>456</v>
      </c>
      <c r="J484" s="9">
        <v>8</v>
      </c>
      <c r="K484" t="str">
        <f t="shared" si="12"/>
        <v>MEDIUM</v>
      </c>
      <c r="L484" t="s">
        <v>26</v>
      </c>
    </row>
    <row r="485" spans="1:12" x14ac:dyDescent="0.25">
      <c r="A485" t="s">
        <v>170</v>
      </c>
      <c r="B485" t="s">
        <v>18</v>
      </c>
      <c r="C485" t="s">
        <v>20</v>
      </c>
      <c r="D485" t="s">
        <v>171</v>
      </c>
      <c r="E485" t="s">
        <v>62</v>
      </c>
      <c r="F485" s="9">
        <v>125</v>
      </c>
      <c r="G485" s="9">
        <v>19</v>
      </c>
      <c r="H485" s="9">
        <v>106</v>
      </c>
      <c r="I485" s="9">
        <v>111</v>
      </c>
      <c r="J485" s="9">
        <v>5</v>
      </c>
      <c r="K485" t="str">
        <f t="shared" si="12"/>
        <v>MEDIUM</v>
      </c>
      <c r="L485" t="s">
        <v>26</v>
      </c>
    </row>
    <row r="486" spans="1:12" x14ac:dyDescent="0.25">
      <c r="A486" t="s">
        <v>2368</v>
      </c>
      <c r="B486" t="s">
        <v>2170</v>
      </c>
      <c r="C486" t="s">
        <v>2311</v>
      </c>
      <c r="D486" t="s">
        <v>122</v>
      </c>
      <c r="E486" t="s">
        <v>62</v>
      </c>
      <c r="F486" s="9">
        <v>339</v>
      </c>
      <c r="G486" s="9">
        <v>90</v>
      </c>
      <c r="H486" s="9">
        <v>249</v>
      </c>
      <c r="I486" s="9">
        <v>253</v>
      </c>
      <c r="J486" s="9">
        <v>4</v>
      </c>
      <c r="K486" t="str">
        <f t="shared" si="12"/>
        <v>MEDIUM</v>
      </c>
      <c r="L486" t="s">
        <v>26</v>
      </c>
    </row>
    <row r="489" spans="1:12" ht="18.75" x14ac:dyDescent="0.3">
      <c r="A489" s="23" t="s">
        <v>2742</v>
      </c>
      <c r="B489" s="24"/>
      <c r="C489" s="24"/>
      <c r="D489" s="24"/>
      <c r="E489" s="24"/>
      <c r="F489" s="24"/>
      <c r="G489" s="24"/>
      <c r="H489" s="24"/>
      <c r="I489" s="24"/>
      <c r="J489" s="24"/>
      <c r="K489" s="24"/>
    </row>
    <row r="490" spans="1:12" x14ac:dyDescent="0.25">
      <c r="A490" s="7" t="s">
        <v>2743</v>
      </c>
      <c r="B490" s="7" t="s">
        <v>0</v>
      </c>
      <c r="C490" s="7" t="s">
        <v>2715</v>
      </c>
      <c r="D490" s="7" t="s">
        <v>3</v>
      </c>
      <c r="E490" s="7" t="s">
        <v>4</v>
      </c>
      <c r="F490" s="7" t="s">
        <v>2744</v>
      </c>
      <c r="G490" s="7" t="s">
        <v>2745</v>
      </c>
      <c r="H490" s="7" t="s">
        <v>2746</v>
      </c>
      <c r="I490" s="7" t="s">
        <v>2747</v>
      </c>
      <c r="J490" s="7" t="s">
        <v>2748</v>
      </c>
      <c r="K490" s="7" t="s">
        <v>2749</v>
      </c>
    </row>
    <row r="491" spans="1:12" x14ac:dyDescent="0.25">
      <c r="A491">
        <v>1</v>
      </c>
      <c r="B491" t="s">
        <v>2136</v>
      </c>
      <c r="C491" t="s">
        <v>1612</v>
      </c>
      <c r="D491" t="s">
        <v>601</v>
      </c>
      <c r="E491" t="s">
        <v>171</v>
      </c>
      <c r="F491" t="s">
        <v>29</v>
      </c>
      <c r="G491" t="s">
        <v>22</v>
      </c>
      <c r="H491" s="9">
        <v>690</v>
      </c>
      <c r="I491" s="9">
        <v>690</v>
      </c>
      <c r="J491" t="str">
        <f>IF(H491&gt;300,"HIGH",IF(H491&gt;100,"MEDIUM","LOW"))</f>
        <v>HIGH</v>
      </c>
      <c r="K491" t="str">
        <f>IF(G491="SAN","SAN hub replenishment - critical",IF(G491="WOO","WOO distribution center fill","Inter-warehouse balance"))</f>
        <v>SAN hub replenishment - critical</v>
      </c>
    </row>
    <row r="492" spans="1:12" x14ac:dyDescent="0.25">
      <c r="A492">
        <v>2</v>
      </c>
      <c r="B492" t="s">
        <v>1884</v>
      </c>
      <c r="C492" t="s">
        <v>1612</v>
      </c>
      <c r="D492" t="s">
        <v>229</v>
      </c>
      <c r="E492" t="s">
        <v>171</v>
      </c>
      <c r="F492" t="s">
        <v>83</v>
      </c>
      <c r="G492" t="s">
        <v>22</v>
      </c>
      <c r="H492" s="9">
        <v>675</v>
      </c>
      <c r="I492" s="9">
        <v>675</v>
      </c>
      <c r="J492" t="str">
        <f t="shared" ref="J492:J546" si="13">IF(H492&gt;300,"HIGH",IF(H492&gt;100,"MEDIUM","LOW"))</f>
        <v>HIGH</v>
      </c>
      <c r="K492" t="str">
        <f t="shared" ref="K492:K546" si="14">IF(G492="SAN","SAN hub replenishment - critical",IF(G492="WOO","WOO distribution center fill","Inter-warehouse balance"))</f>
        <v>SAN hub replenishment - critical</v>
      </c>
    </row>
    <row r="493" spans="1:12" x14ac:dyDescent="0.25">
      <c r="A493">
        <v>3</v>
      </c>
      <c r="B493" t="s">
        <v>2661</v>
      </c>
      <c r="C493" t="s">
        <v>2170</v>
      </c>
      <c r="D493" t="s">
        <v>2589</v>
      </c>
      <c r="E493" t="s">
        <v>171</v>
      </c>
      <c r="F493" t="s">
        <v>62</v>
      </c>
      <c r="G493" t="s">
        <v>22</v>
      </c>
      <c r="H493" s="9">
        <v>626</v>
      </c>
      <c r="I493" s="9">
        <v>626</v>
      </c>
      <c r="J493" t="str">
        <f t="shared" si="13"/>
        <v>HIGH</v>
      </c>
      <c r="K493" t="str">
        <f t="shared" si="14"/>
        <v>SAN hub replenishment - critical</v>
      </c>
    </row>
    <row r="494" spans="1:12" x14ac:dyDescent="0.25">
      <c r="A494">
        <v>4</v>
      </c>
      <c r="B494" t="s">
        <v>17</v>
      </c>
      <c r="C494" t="s">
        <v>18</v>
      </c>
      <c r="D494" t="s">
        <v>20</v>
      </c>
      <c r="E494" t="s">
        <v>21</v>
      </c>
      <c r="F494" t="s">
        <v>62</v>
      </c>
      <c r="G494" t="s">
        <v>22</v>
      </c>
      <c r="H494" s="9">
        <v>616</v>
      </c>
      <c r="I494" s="9">
        <v>616</v>
      </c>
      <c r="J494" t="str">
        <f t="shared" si="13"/>
        <v>HIGH</v>
      </c>
      <c r="K494" t="str">
        <f t="shared" si="14"/>
        <v>SAN hub replenishment - critical</v>
      </c>
    </row>
    <row r="495" spans="1:12" x14ac:dyDescent="0.25">
      <c r="A495">
        <v>5</v>
      </c>
      <c r="B495" t="s">
        <v>1944</v>
      </c>
      <c r="C495" t="s">
        <v>1612</v>
      </c>
      <c r="D495" t="s">
        <v>434</v>
      </c>
      <c r="E495" t="s">
        <v>21</v>
      </c>
      <c r="F495" t="s">
        <v>83</v>
      </c>
      <c r="G495" t="s">
        <v>22</v>
      </c>
      <c r="H495" s="9">
        <v>558</v>
      </c>
      <c r="I495" s="9">
        <v>558</v>
      </c>
      <c r="J495" t="str">
        <f t="shared" si="13"/>
        <v>HIGH</v>
      </c>
      <c r="K495" t="str">
        <f t="shared" si="14"/>
        <v>SAN hub replenishment - critical</v>
      </c>
    </row>
    <row r="496" spans="1:12" x14ac:dyDescent="0.25">
      <c r="A496">
        <v>6</v>
      </c>
      <c r="B496" t="s">
        <v>1710</v>
      </c>
      <c r="C496" t="s">
        <v>1612</v>
      </c>
      <c r="D496" t="s">
        <v>20</v>
      </c>
      <c r="E496" t="s">
        <v>171</v>
      </c>
      <c r="F496" t="s">
        <v>62</v>
      </c>
      <c r="G496" t="s">
        <v>22</v>
      </c>
      <c r="H496" s="9">
        <v>507</v>
      </c>
      <c r="I496" s="9">
        <v>507</v>
      </c>
      <c r="J496" t="str">
        <f t="shared" si="13"/>
        <v>HIGH</v>
      </c>
      <c r="K496" t="str">
        <f t="shared" si="14"/>
        <v>SAN hub replenishment - critical</v>
      </c>
    </row>
    <row r="497" spans="1:11" x14ac:dyDescent="0.25">
      <c r="A497">
        <v>7</v>
      </c>
      <c r="B497" t="s">
        <v>2310</v>
      </c>
      <c r="C497" t="s">
        <v>2170</v>
      </c>
      <c r="D497" t="s">
        <v>2311</v>
      </c>
      <c r="E497" t="s">
        <v>21</v>
      </c>
      <c r="F497" t="s">
        <v>62</v>
      </c>
      <c r="G497" t="s">
        <v>22</v>
      </c>
      <c r="H497" s="9">
        <v>487</v>
      </c>
      <c r="I497" s="9">
        <v>487</v>
      </c>
      <c r="J497" t="str">
        <f t="shared" si="13"/>
        <v>HIGH</v>
      </c>
      <c r="K497" t="str">
        <f t="shared" si="14"/>
        <v>SAN hub replenishment - critical</v>
      </c>
    </row>
    <row r="498" spans="1:11" x14ac:dyDescent="0.25">
      <c r="A498">
        <v>8</v>
      </c>
      <c r="B498" t="s">
        <v>2550</v>
      </c>
      <c r="C498" t="s">
        <v>2170</v>
      </c>
      <c r="D498" t="s">
        <v>2460</v>
      </c>
      <c r="E498" t="s">
        <v>171</v>
      </c>
      <c r="F498" t="s">
        <v>35</v>
      </c>
      <c r="G498" t="s">
        <v>22</v>
      </c>
      <c r="H498" s="9">
        <v>486</v>
      </c>
      <c r="I498" s="9">
        <v>486</v>
      </c>
      <c r="J498" t="str">
        <f t="shared" si="13"/>
        <v>HIGH</v>
      </c>
      <c r="K498" t="str">
        <f t="shared" si="14"/>
        <v>SAN hub replenishment - critical</v>
      </c>
    </row>
    <row r="499" spans="1:11" x14ac:dyDescent="0.25">
      <c r="A499">
        <v>9</v>
      </c>
      <c r="B499" t="s">
        <v>2069</v>
      </c>
      <c r="C499" t="s">
        <v>1612</v>
      </c>
      <c r="D499" t="s">
        <v>601</v>
      </c>
      <c r="E499" t="s">
        <v>21</v>
      </c>
      <c r="F499" t="s">
        <v>62</v>
      </c>
      <c r="G499" t="s">
        <v>22</v>
      </c>
      <c r="H499" s="9">
        <v>483</v>
      </c>
      <c r="I499" s="9">
        <v>483</v>
      </c>
      <c r="J499" t="str">
        <f t="shared" si="13"/>
        <v>HIGH</v>
      </c>
      <c r="K499" t="str">
        <f t="shared" si="14"/>
        <v>SAN hub replenishment - critical</v>
      </c>
    </row>
    <row r="500" spans="1:11" x14ac:dyDescent="0.25">
      <c r="A500">
        <v>10</v>
      </c>
      <c r="B500" t="s">
        <v>2260</v>
      </c>
      <c r="C500" t="s">
        <v>2170</v>
      </c>
      <c r="D500" t="s">
        <v>2172</v>
      </c>
      <c r="E500" t="s">
        <v>171</v>
      </c>
      <c r="F500" t="s">
        <v>83</v>
      </c>
      <c r="G500" t="s">
        <v>22</v>
      </c>
      <c r="H500" s="9">
        <v>478</v>
      </c>
      <c r="I500" s="9">
        <v>478</v>
      </c>
      <c r="J500" t="str">
        <f t="shared" si="13"/>
        <v>HIGH</v>
      </c>
      <c r="K500" t="str">
        <f t="shared" si="14"/>
        <v>SAN hub replenishment - critical</v>
      </c>
    </row>
    <row r="501" spans="1:11" x14ac:dyDescent="0.25">
      <c r="A501">
        <v>11</v>
      </c>
      <c r="B501" t="s">
        <v>433</v>
      </c>
      <c r="C501" t="s">
        <v>18</v>
      </c>
      <c r="D501" t="s">
        <v>434</v>
      </c>
      <c r="E501" t="s">
        <v>21</v>
      </c>
      <c r="F501" t="s">
        <v>62</v>
      </c>
      <c r="G501" t="s">
        <v>22</v>
      </c>
      <c r="H501" s="9">
        <v>457</v>
      </c>
      <c r="I501" s="9">
        <v>457</v>
      </c>
      <c r="J501" t="str">
        <f t="shared" si="13"/>
        <v>HIGH</v>
      </c>
      <c r="K501" t="str">
        <f t="shared" si="14"/>
        <v>SAN hub replenishment - critical</v>
      </c>
    </row>
    <row r="502" spans="1:11" x14ac:dyDescent="0.25">
      <c r="A502">
        <v>12</v>
      </c>
      <c r="B502" t="s">
        <v>1611</v>
      </c>
      <c r="C502" t="s">
        <v>1612</v>
      </c>
      <c r="D502" t="s">
        <v>20</v>
      </c>
      <c r="E502" t="s">
        <v>21</v>
      </c>
      <c r="F502" t="s">
        <v>62</v>
      </c>
      <c r="G502" t="s">
        <v>22</v>
      </c>
      <c r="H502" s="9">
        <v>430</v>
      </c>
      <c r="I502" s="9">
        <v>430</v>
      </c>
      <c r="J502" t="str">
        <f t="shared" si="13"/>
        <v>HIGH</v>
      </c>
      <c r="K502" t="str">
        <f t="shared" si="14"/>
        <v>SAN hub replenishment - critical</v>
      </c>
    </row>
    <row r="503" spans="1:11" x14ac:dyDescent="0.25">
      <c r="A503">
        <v>13</v>
      </c>
      <c r="B503" t="s">
        <v>2588</v>
      </c>
      <c r="C503" t="s">
        <v>2170</v>
      </c>
      <c r="D503" t="s">
        <v>2589</v>
      </c>
      <c r="E503" t="s">
        <v>21</v>
      </c>
      <c r="F503" t="s">
        <v>83</v>
      </c>
      <c r="G503" t="s">
        <v>22</v>
      </c>
      <c r="H503" s="9">
        <v>371</v>
      </c>
      <c r="I503" s="9">
        <v>371</v>
      </c>
      <c r="J503" t="str">
        <f t="shared" si="13"/>
        <v>HIGH</v>
      </c>
      <c r="K503" t="str">
        <f t="shared" si="14"/>
        <v>SAN hub replenishment - critical</v>
      </c>
    </row>
    <row r="504" spans="1:11" x14ac:dyDescent="0.25">
      <c r="A504">
        <v>14</v>
      </c>
      <c r="B504" t="s">
        <v>2025</v>
      </c>
      <c r="C504" t="s">
        <v>1612</v>
      </c>
      <c r="D504" t="s">
        <v>434</v>
      </c>
      <c r="E504" t="s">
        <v>171</v>
      </c>
      <c r="F504" t="s">
        <v>62</v>
      </c>
      <c r="G504" t="s">
        <v>22</v>
      </c>
      <c r="H504" s="9">
        <v>357</v>
      </c>
      <c r="I504" s="9">
        <v>357</v>
      </c>
      <c r="J504" t="str">
        <f t="shared" si="13"/>
        <v>HIGH</v>
      </c>
      <c r="K504" t="str">
        <f t="shared" si="14"/>
        <v>SAN hub replenishment - critical</v>
      </c>
    </row>
    <row r="505" spans="1:11" x14ac:dyDescent="0.25">
      <c r="A505">
        <v>15</v>
      </c>
      <c r="B505" t="s">
        <v>855</v>
      </c>
      <c r="C505" t="s">
        <v>789</v>
      </c>
      <c r="D505" t="s">
        <v>20</v>
      </c>
      <c r="E505" t="s">
        <v>21</v>
      </c>
      <c r="F505" t="s">
        <v>29</v>
      </c>
      <c r="G505" t="s">
        <v>22</v>
      </c>
      <c r="H505" s="9">
        <v>350</v>
      </c>
      <c r="I505" s="9">
        <v>350</v>
      </c>
      <c r="J505" t="str">
        <f t="shared" si="13"/>
        <v>HIGH</v>
      </c>
      <c r="K505" t="str">
        <f t="shared" si="14"/>
        <v>SAN hub replenishment - critical</v>
      </c>
    </row>
    <row r="506" spans="1:11" x14ac:dyDescent="0.25">
      <c r="A506">
        <v>16</v>
      </c>
      <c r="B506" t="s">
        <v>2459</v>
      </c>
      <c r="C506" t="s">
        <v>2170</v>
      </c>
      <c r="D506" t="s">
        <v>2460</v>
      </c>
      <c r="E506" t="s">
        <v>21</v>
      </c>
      <c r="F506" t="s">
        <v>83</v>
      </c>
      <c r="G506" t="s">
        <v>22</v>
      </c>
      <c r="H506" s="9">
        <v>339</v>
      </c>
      <c r="I506" s="9">
        <v>339</v>
      </c>
      <c r="J506" t="str">
        <f t="shared" si="13"/>
        <v>HIGH</v>
      </c>
      <c r="K506" t="str">
        <f t="shared" si="14"/>
        <v>SAN hub replenishment - critical</v>
      </c>
    </row>
    <row r="507" spans="1:11" x14ac:dyDescent="0.25">
      <c r="A507">
        <v>17</v>
      </c>
      <c r="B507" t="s">
        <v>600</v>
      </c>
      <c r="C507" t="s">
        <v>18</v>
      </c>
      <c r="D507" t="s">
        <v>601</v>
      </c>
      <c r="E507" t="s">
        <v>21</v>
      </c>
      <c r="F507" t="s">
        <v>29</v>
      </c>
      <c r="G507" t="s">
        <v>22</v>
      </c>
      <c r="H507" s="9">
        <v>328</v>
      </c>
      <c r="I507" s="9">
        <v>328</v>
      </c>
      <c r="J507" t="str">
        <f t="shared" si="13"/>
        <v>HIGH</v>
      </c>
      <c r="K507" t="str">
        <f t="shared" si="14"/>
        <v>SAN hub replenishment - critical</v>
      </c>
    </row>
    <row r="508" spans="1:11" x14ac:dyDescent="0.25">
      <c r="A508">
        <v>18</v>
      </c>
      <c r="B508" t="s">
        <v>2416</v>
      </c>
      <c r="C508" t="s">
        <v>2170</v>
      </c>
      <c r="D508" t="s">
        <v>2311</v>
      </c>
      <c r="E508" t="s">
        <v>171</v>
      </c>
      <c r="F508" t="s">
        <v>83</v>
      </c>
      <c r="G508" t="s">
        <v>22</v>
      </c>
      <c r="H508" s="9">
        <v>302</v>
      </c>
      <c r="I508" s="9">
        <v>302</v>
      </c>
      <c r="J508" t="str">
        <f t="shared" si="13"/>
        <v>HIGH</v>
      </c>
      <c r="K508" t="str">
        <f t="shared" si="14"/>
        <v>SAN hub replenishment - critical</v>
      </c>
    </row>
    <row r="509" spans="1:11" x14ac:dyDescent="0.25">
      <c r="A509">
        <v>19</v>
      </c>
      <c r="B509" t="s">
        <v>228</v>
      </c>
      <c r="C509" t="s">
        <v>18</v>
      </c>
      <c r="D509" t="s">
        <v>229</v>
      </c>
      <c r="E509" t="s">
        <v>21</v>
      </c>
      <c r="F509" t="s">
        <v>62</v>
      </c>
      <c r="G509" t="s">
        <v>22</v>
      </c>
      <c r="H509" s="9">
        <v>289</v>
      </c>
      <c r="I509" s="9">
        <v>289</v>
      </c>
      <c r="J509" t="str">
        <f t="shared" si="13"/>
        <v>MEDIUM</v>
      </c>
      <c r="K509" t="str">
        <f t="shared" si="14"/>
        <v>SAN hub replenishment - critical</v>
      </c>
    </row>
    <row r="510" spans="1:11" x14ac:dyDescent="0.25">
      <c r="A510">
        <v>20</v>
      </c>
      <c r="B510" t="s">
        <v>2169</v>
      </c>
      <c r="C510" t="s">
        <v>2170</v>
      </c>
      <c r="D510" t="s">
        <v>2172</v>
      </c>
      <c r="E510" t="s">
        <v>21</v>
      </c>
      <c r="F510" t="s">
        <v>62</v>
      </c>
      <c r="G510" t="s">
        <v>22</v>
      </c>
      <c r="H510" s="9">
        <v>272</v>
      </c>
      <c r="I510" s="9">
        <v>272</v>
      </c>
      <c r="J510" t="str">
        <f t="shared" si="13"/>
        <v>MEDIUM</v>
      </c>
      <c r="K510" t="str">
        <f t="shared" si="14"/>
        <v>SAN hub replenishment - critical</v>
      </c>
    </row>
    <row r="511" spans="1:11" x14ac:dyDescent="0.25">
      <c r="A511">
        <v>21</v>
      </c>
      <c r="B511" t="s">
        <v>1771</v>
      </c>
      <c r="C511" t="s">
        <v>1612</v>
      </c>
      <c r="D511" t="s">
        <v>229</v>
      </c>
      <c r="E511" t="s">
        <v>21</v>
      </c>
      <c r="F511" t="s">
        <v>35</v>
      </c>
      <c r="G511" t="s">
        <v>22</v>
      </c>
      <c r="H511" s="9">
        <v>258</v>
      </c>
      <c r="I511" s="9">
        <v>258</v>
      </c>
      <c r="J511" t="str">
        <f t="shared" si="13"/>
        <v>MEDIUM</v>
      </c>
      <c r="K511" t="str">
        <f t="shared" si="14"/>
        <v>SAN hub replenishment - critical</v>
      </c>
    </row>
    <row r="512" spans="1:11" x14ac:dyDescent="0.25">
      <c r="A512">
        <v>22</v>
      </c>
      <c r="B512" t="s">
        <v>491</v>
      </c>
      <c r="C512" t="s">
        <v>18</v>
      </c>
      <c r="D512" t="s">
        <v>434</v>
      </c>
      <c r="E512" t="s">
        <v>122</v>
      </c>
      <c r="F512" t="s">
        <v>83</v>
      </c>
      <c r="G512" t="s">
        <v>22</v>
      </c>
      <c r="H512" s="9">
        <v>238</v>
      </c>
      <c r="I512" s="9">
        <v>674</v>
      </c>
      <c r="J512" t="str">
        <f t="shared" si="13"/>
        <v>MEDIUM</v>
      </c>
      <c r="K512" t="str">
        <f t="shared" si="14"/>
        <v>SAN hub replenishment - critical</v>
      </c>
    </row>
    <row r="513" spans="1:11" x14ac:dyDescent="0.25">
      <c r="A513">
        <v>23</v>
      </c>
      <c r="B513" t="s">
        <v>1465</v>
      </c>
      <c r="C513" t="s">
        <v>789</v>
      </c>
      <c r="D513" t="s">
        <v>601</v>
      </c>
      <c r="E513" t="s">
        <v>21</v>
      </c>
      <c r="F513" t="s">
        <v>29</v>
      </c>
      <c r="G513" t="s">
        <v>22</v>
      </c>
      <c r="H513" s="9">
        <v>236</v>
      </c>
      <c r="I513" s="9">
        <v>236</v>
      </c>
      <c r="J513" t="str">
        <f t="shared" si="13"/>
        <v>MEDIUM</v>
      </c>
      <c r="K513" t="str">
        <f t="shared" si="14"/>
        <v>SAN hub replenishment - critical</v>
      </c>
    </row>
    <row r="514" spans="1:11" x14ac:dyDescent="0.25">
      <c r="A514">
        <v>24</v>
      </c>
      <c r="B514" t="s">
        <v>1058</v>
      </c>
      <c r="C514" t="s">
        <v>789</v>
      </c>
      <c r="D514" t="s">
        <v>229</v>
      </c>
      <c r="E514" t="s">
        <v>21</v>
      </c>
      <c r="F514" t="s">
        <v>29</v>
      </c>
      <c r="G514" t="s">
        <v>22</v>
      </c>
      <c r="H514" s="9">
        <v>233</v>
      </c>
      <c r="I514" s="9">
        <v>233</v>
      </c>
      <c r="J514" t="str">
        <f t="shared" si="13"/>
        <v>MEDIUM</v>
      </c>
      <c r="K514" t="str">
        <f t="shared" si="14"/>
        <v>SAN hub replenishment - critical</v>
      </c>
    </row>
    <row r="515" spans="1:11" x14ac:dyDescent="0.25">
      <c r="A515">
        <v>25</v>
      </c>
      <c r="B515" t="s">
        <v>675</v>
      </c>
      <c r="C515" t="s">
        <v>18</v>
      </c>
      <c r="D515" t="s">
        <v>601</v>
      </c>
      <c r="E515" t="s">
        <v>122</v>
      </c>
      <c r="F515" t="s">
        <v>83</v>
      </c>
      <c r="G515" t="s">
        <v>22</v>
      </c>
      <c r="H515" s="9">
        <v>219</v>
      </c>
      <c r="I515" s="9">
        <v>219</v>
      </c>
      <c r="J515" t="str">
        <f t="shared" si="13"/>
        <v>MEDIUM</v>
      </c>
      <c r="K515" t="str">
        <f t="shared" si="14"/>
        <v>SAN hub replenishment - critical</v>
      </c>
    </row>
    <row r="516" spans="1:11" x14ac:dyDescent="0.25">
      <c r="A516">
        <v>26</v>
      </c>
      <c r="B516" t="s">
        <v>1058</v>
      </c>
      <c r="C516" t="s">
        <v>789</v>
      </c>
      <c r="D516" t="s">
        <v>229</v>
      </c>
      <c r="E516" t="s">
        <v>21</v>
      </c>
      <c r="F516" t="s">
        <v>29</v>
      </c>
      <c r="G516" t="s">
        <v>35</v>
      </c>
      <c r="H516" s="9">
        <v>207</v>
      </c>
      <c r="I516" s="9">
        <v>207</v>
      </c>
      <c r="J516" t="str">
        <f t="shared" si="13"/>
        <v>MEDIUM</v>
      </c>
      <c r="K516" t="str">
        <f t="shared" si="14"/>
        <v>Inter-warehouse balance</v>
      </c>
    </row>
    <row r="517" spans="1:11" x14ac:dyDescent="0.25">
      <c r="A517">
        <v>27</v>
      </c>
      <c r="B517" t="s">
        <v>1319</v>
      </c>
      <c r="C517" t="s">
        <v>789</v>
      </c>
      <c r="D517" t="s">
        <v>434</v>
      </c>
      <c r="E517" t="s">
        <v>122</v>
      </c>
      <c r="F517" t="s">
        <v>83</v>
      </c>
      <c r="G517" t="s">
        <v>22</v>
      </c>
      <c r="H517" s="9">
        <v>205</v>
      </c>
      <c r="I517" s="9">
        <v>559</v>
      </c>
      <c r="J517" t="str">
        <f t="shared" si="13"/>
        <v>MEDIUM</v>
      </c>
      <c r="K517" t="str">
        <f t="shared" si="14"/>
        <v>SAN hub replenishment - critical</v>
      </c>
    </row>
    <row r="518" spans="1:11" x14ac:dyDescent="0.25">
      <c r="A518">
        <v>28</v>
      </c>
      <c r="B518" t="s">
        <v>1465</v>
      </c>
      <c r="C518" t="s">
        <v>789</v>
      </c>
      <c r="D518" t="s">
        <v>601</v>
      </c>
      <c r="E518" t="s">
        <v>21</v>
      </c>
      <c r="F518" t="s">
        <v>29</v>
      </c>
      <c r="G518" t="s">
        <v>35</v>
      </c>
      <c r="H518" s="9">
        <v>199</v>
      </c>
      <c r="I518" s="9">
        <v>199</v>
      </c>
      <c r="J518" t="str">
        <f t="shared" si="13"/>
        <v>MEDIUM</v>
      </c>
      <c r="K518" t="str">
        <f t="shared" si="14"/>
        <v>Inter-warehouse balance</v>
      </c>
    </row>
    <row r="519" spans="1:11" x14ac:dyDescent="0.25">
      <c r="A519">
        <v>29</v>
      </c>
      <c r="B519" t="s">
        <v>305</v>
      </c>
      <c r="C519" t="s">
        <v>18</v>
      </c>
      <c r="D519" t="s">
        <v>229</v>
      </c>
      <c r="E519" t="s">
        <v>122</v>
      </c>
      <c r="F519" t="s">
        <v>35</v>
      </c>
      <c r="G519" t="s">
        <v>22</v>
      </c>
      <c r="H519" s="9">
        <v>183</v>
      </c>
      <c r="I519" s="9">
        <v>686</v>
      </c>
      <c r="J519" t="str">
        <f t="shared" si="13"/>
        <v>MEDIUM</v>
      </c>
      <c r="K519" t="str">
        <f t="shared" si="14"/>
        <v>SAN hub replenishment - critical</v>
      </c>
    </row>
    <row r="520" spans="1:11" x14ac:dyDescent="0.25">
      <c r="A520">
        <v>30</v>
      </c>
      <c r="B520" t="s">
        <v>305</v>
      </c>
      <c r="C520" t="s">
        <v>18</v>
      </c>
      <c r="D520" t="s">
        <v>229</v>
      </c>
      <c r="E520" t="s">
        <v>122</v>
      </c>
      <c r="F520" t="s">
        <v>83</v>
      </c>
      <c r="G520" t="s">
        <v>22</v>
      </c>
      <c r="H520" s="9">
        <v>174</v>
      </c>
      <c r="I520" s="9">
        <v>686</v>
      </c>
      <c r="J520" t="str">
        <f t="shared" si="13"/>
        <v>MEDIUM</v>
      </c>
      <c r="K520" t="str">
        <f t="shared" si="14"/>
        <v>SAN hub replenishment - critical</v>
      </c>
    </row>
    <row r="521" spans="1:11" x14ac:dyDescent="0.25">
      <c r="A521">
        <v>31</v>
      </c>
      <c r="B521" t="s">
        <v>370</v>
      </c>
      <c r="C521" t="s">
        <v>18</v>
      </c>
      <c r="D521" t="s">
        <v>229</v>
      </c>
      <c r="E521" t="s">
        <v>171</v>
      </c>
      <c r="F521" t="s">
        <v>62</v>
      </c>
      <c r="G521" t="s">
        <v>22</v>
      </c>
      <c r="H521" s="9">
        <v>157</v>
      </c>
      <c r="I521" s="9">
        <v>413</v>
      </c>
      <c r="J521" t="str">
        <f t="shared" si="13"/>
        <v>MEDIUM</v>
      </c>
      <c r="K521" t="str">
        <f t="shared" si="14"/>
        <v>SAN hub replenishment - critical</v>
      </c>
    </row>
    <row r="522" spans="1:11" x14ac:dyDescent="0.25">
      <c r="A522">
        <v>32</v>
      </c>
      <c r="B522" t="s">
        <v>1400</v>
      </c>
      <c r="C522" t="s">
        <v>789</v>
      </c>
      <c r="D522" t="s">
        <v>434</v>
      </c>
      <c r="E522" t="s">
        <v>171</v>
      </c>
      <c r="F522" t="s">
        <v>62</v>
      </c>
      <c r="G522" t="s">
        <v>29</v>
      </c>
      <c r="H522" s="9">
        <v>155</v>
      </c>
      <c r="I522" s="9">
        <v>305</v>
      </c>
      <c r="J522" t="str">
        <f t="shared" si="13"/>
        <v>MEDIUM</v>
      </c>
      <c r="K522" t="str">
        <f t="shared" si="14"/>
        <v>WOO distribution center fill</v>
      </c>
    </row>
    <row r="523" spans="1:11" x14ac:dyDescent="0.25">
      <c r="A523">
        <v>33</v>
      </c>
      <c r="B523" t="s">
        <v>1253</v>
      </c>
      <c r="C523" t="s">
        <v>789</v>
      </c>
      <c r="D523" t="s">
        <v>434</v>
      </c>
      <c r="E523" t="s">
        <v>21</v>
      </c>
      <c r="F523" t="s">
        <v>83</v>
      </c>
      <c r="G523" t="s">
        <v>22</v>
      </c>
      <c r="H523" s="9">
        <v>154</v>
      </c>
      <c r="I523" s="9">
        <v>533</v>
      </c>
      <c r="J523" t="str">
        <f t="shared" si="13"/>
        <v>MEDIUM</v>
      </c>
      <c r="K523" t="str">
        <f t="shared" si="14"/>
        <v>SAN hub replenishment - critical</v>
      </c>
    </row>
    <row r="524" spans="1:11" x14ac:dyDescent="0.25">
      <c r="A524">
        <v>34</v>
      </c>
      <c r="B524" t="s">
        <v>1253</v>
      </c>
      <c r="C524" t="s">
        <v>789</v>
      </c>
      <c r="D524" t="s">
        <v>434</v>
      </c>
      <c r="E524" t="s">
        <v>21</v>
      </c>
      <c r="F524" t="s">
        <v>62</v>
      </c>
      <c r="G524" t="s">
        <v>22</v>
      </c>
      <c r="H524" s="9">
        <v>139</v>
      </c>
      <c r="I524" s="9">
        <v>533</v>
      </c>
      <c r="J524" t="str">
        <f t="shared" si="13"/>
        <v>MEDIUM</v>
      </c>
      <c r="K524" t="str">
        <f t="shared" si="14"/>
        <v>SAN hub replenishment - critical</v>
      </c>
    </row>
    <row r="525" spans="1:11" x14ac:dyDescent="0.25">
      <c r="A525">
        <v>35</v>
      </c>
      <c r="B525" t="s">
        <v>170</v>
      </c>
      <c r="C525" t="s">
        <v>18</v>
      </c>
      <c r="D525" t="s">
        <v>20</v>
      </c>
      <c r="E525" t="s">
        <v>171</v>
      </c>
      <c r="F525" t="s">
        <v>62</v>
      </c>
      <c r="G525" t="s">
        <v>22</v>
      </c>
      <c r="H525" s="9">
        <v>122</v>
      </c>
      <c r="I525" s="9">
        <v>371</v>
      </c>
      <c r="J525" t="str">
        <f t="shared" si="13"/>
        <v>MEDIUM</v>
      </c>
      <c r="K525" t="str">
        <f t="shared" si="14"/>
        <v>SAN hub replenishment - critical</v>
      </c>
    </row>
    <row r="526" spans="1:11" x14ac:dyDescent="0.25">
      <c r="A526">
        <v>36</v>
      </c>
      <c r="B526" t="s">
        <v>1500</v>
      </c>
      <c r="C526" t="s">
        <v>789</v>
      </c>
      <c r="D526" t="s">
        <v>601</v>
      </c>
      <c r="E526" t="s">
        <v>122</v>
      </c>
      <c r="F526" t="s">
        <v>83</v>
      </c>
      <c r="G526" t="s">
        <v>22</v>
      </c>
      <c r="H526" s="9">
        <v>100</v>
      </c>
      <c r="I526" s="9">
        <v>526</v>
      </c>
      <c r="J526" t="str">
        <f t="shared" si="13"/>
        <v>LOW</v>
      </c>
      <c r="K526" t="str">
        <f t="shared" si="14"/>
        <v>SAN hub replenishment - critical</v>
      </c>
    </row>
    <row r="527" spans="1:11" x14ac:dyDescent="0.25">
      <c r="A527">
        <v>37</v>
      </c>
      <c r="B527" t="s">
        <v>1184</v>
      </c>
      <c r="C527" t="s">
        <v>789</v>
      </c>
      <c r="D527" t="s">
        <v>229</v>
      </c>
      <c r="E527" t="s">
        <v>171</v>
      </c>
      <c r="F527" t="s">
        <v>35</v>
      </c>
      <c r="G527" t="s">
        <v>29</v>
      </c>
      <c r="H527" s="9">
        <v>98</v>
      </c>
      <c r="I527" s="9">
        <v>347</v>
      </c>
      <c r="J527" t="str">
        <f t="shared" si="13"/>
        <v>LOW</v>
      </c>
      <c r="K527" t="str">
        <f t="shared" si="14"/>
        <v>WOO distribution center fill</v>
      </c>
    </row>
    <row r="528" spans="1:11" x14ac:dyDescent="0.25">
      <c r="A528">
        <v>38</v>
      </c>
      <c r="B528" t="s">
        <v>735</v>
      </c>
      <c r="C528" t="s">
        <v>18</v>
      </c>
      <c r="D528" t="s">
        <v>601</v>
      </c>
      <c r="E528" t="s">
        <v>171</v>
      </c>
      <c r="F528" t="s">
        <v>83</v>
      </c>
      <c r="G528" t="s">
        <v>22</v>
      </c>
      <c r="H528" s="9">
        <v>95</v>
      </c>
      <c r="I528" s="9">
        <v>493</v>
      </c>
      <c r="J528" t="str">
        <f t="shared" si="13"/>
        <v>LOW</v>
      </c>
      <c r="K528" t="str">
        <f t="shared" si="14"/>
        <v>SAN hub replenishment - critical</v>
      </c>
    </row>
    <row r="529" spans="1:11" x14ac:dyDescent="0.25">
      <c r="A529">
        <v>39</v>
      </c>
      <c r="B529" t="s">
        <v>1465</v>
      </c>
      <c r="C529" t="s">
        <v>789</v>
      </c>
      <c r="D529" t="s">
        <v>601</v>
      </c>
      <c r="E529" t="s">
        <v>21</v>
      </c>
      <c r="F529" t="s">
        <v>29</v>
      </c>
      <c r="G529" t="s">
        <v>62</v>
      </c>
      <c r="H529" s="9">
        <v>94</v>
      </c>
      <c r="I529" s="9">
        <v>94</v>
      </c>
      <c r="J529" t="str">
        <f t="shared" si="13"/>
        <v>LOW</v>
      </c>
      <c r="K529" t="str">
        <f t="shared" si="14"/>
        <v>Inter-warehouse balance</v>
      </c>
    </row>
    <row r="530" spans="1:11" x14ac:dyDescent="0.25">
      <c r="A530">
        <v>40</v>
      </c>
      <c r="B530" t="s">
        <v>2459</v>
      </c>
      <c r="C530" t="s">
        <v>2170</v>
      </c>
      <c r="D530" t="s">
        <v>2460</v>
      </c>
      <c r="E530" t="s">
        <v>21</v>
      </c>
      <c r="F530" t="s">
        <v>83</v>
      </c>
      <c r="G530" t="s">
        <v>29</v>
      </c>
      <c r="H530" s="9">
        <v>94</v>
      </c>
      <c r="I530" s="9">
        <v>94</v>
      </c>
      <c r="J530" t="str">
        <f t="shared" si="13"/>
        <v>LOW</v>
      </c>
      <c r="K530" t="str">
        <f t="shared" si="14"/>
        <v>WOO distribution center fill</v>
      </c>
    </row>
    <row r="531" spans="1:11" x14ac:dyDescent="0.25">
      <c r="A531">
        <v>41</v>
      </c>
      <c r="B531" t="s">
        <v>370</v>
      </c>
      <c r="C531" t="s">
        <v>18</v>
      </c>
      <c r="D531" t="s">
        <v>229</v>
      </c>
      <c r="E531" t="s">
        <v>171</v>
      </c>
      <c r="F531" t="s">
        <v>35</v>
      </c>
      <c r="G531" t="s">
        <v>22</v>
      </c>
      <c r="H531" s="9">
        <v>92</v>
      </c>
      <c r="I531" s="9">
        <v>413</v>
      </c>
      <c r="J531" t="str">
        <f t="shared" si="13"/>
        <v>LOW</v>
      </c>
      <c r="K531" t="str">
        <f t="shared" si="14"/>
        <v>SAN hub replenishment - critical</v>
      </c>
    </row>
    <row r="532" spans="1:11" x14ac:dyDescent="0.25">
      <c r="A532">
        <v>42</v>
      </c>
      <c r="B532" t="s">
        <v>491</v>
      </c>
      <c r="C532" t="s">
        <v>18</v>
      </c>
      <c r="D532" t="s">
        <v>434</v>
      </c>
      <c r="E532" t="s">
        <v>122</v>
      </c>
      <c r="F532" t="s">
        <v>35</v>
      </c>
      <c r="G532" t="s">
        <v>22</v>
      </c>
      <c r="H532" s="9">
        <v>89</v>
      </c>
      <c r="I532" s="9">
        <v>674</v>
      </c>
      <c r="J532" t="str">
        <f t="shared" si="13"/>
        <v>LOW</v>
      </c>
      <c r="K532" t="str">
        <f t="shared" si="14"/>
        <v>SAN hub replenishment - critical</v>
      </c>
    </row>
    <row r="533" spans="1:11" x14ac:dyDescent="0.25">
      <c r="A533">
        <v>43</v>
      </c>
      <c r="B533" t="s">
        <v>1058</v>
      </c>
      <c r="C533" t="s">
        <v>789</v>
      </c>
      <c r="D533" t="s">
        <v>229</v>
      </c>
      <c r="E533" t="s">
        <v>21</v>
      </c>
      <c r="F533" t="s">
        <v>29</v>
      </c>
      <c r="G533" t="s">
        <v>83</v>
      </c>
      <c r="H533" s="9">
        <v>86</v>
      </c>
      <c r="I533" s="9">
        <v>86</v>
      </c>
      <c r="J533" t="str">
        <f t="shared" si="13"/>
        <v>LOW</v>
      </c>
      <c r="K533" t="str">
        <f t="shared" si="14"/>
        <v>Inter-warehouse balance</v>
      </c>
    </row>
    <row r="534" spans="1:11" x14ac:dyDescent="0.25">
      <c r="A534">
        <v>44</v>
      </c>
      <c r="B534" t="s">
        <v>121</v>
      </c>
      <c r="C534" t="s">
        <v>18</v>
      </c>
      <c r="D534" t="s">
        <v>20</v>
      </c>
      <c r="E534" t="s">
        <v>122</v>
      </c>
      <c r="F534" t="s">
        <v>35</v>
      </c>
      <c r="G534" t="s">
        <v>22</v>
      </c>
      <c r="H534" s="9">
        <v>63</v>
      </c>
      <c r="I534" s="9">
        <v>561</v>
      </c>
      <c r="J534" t="str">
        <f t="shared" si="13"/>
        <v>LOW</v>
      </c>
      <c r="K534" t="str">
        <f t="shared" si="14"/>
        <v>SAN hub replenishment - critical</v>
      </c>
    </row>
    <row r="535" spans="1:11" x14ac:dyDescent="0.25">
      <c r="A535">
        <v>45</v>
      </c>
      <c r="B535" t="s">
        <v>1500</v>
      </c>
      <c r="C535" t="s">
        <v>789</v>
      </c>
      <c r="D535" t="s">
        <v>601</v>
      </c>
      <c r="E535" t="s">
        <v>122</v>
      </c>
      <c r="F535" t="s">
        <v>62</v>
      </c>
      <c r="G535" t="s">
        <v>22</v>
      </c>
      <c r="H535" s="9">
        <v>63</v>
      </c>
      <c r="I535" s="9">
        <v>526</v>
      </c>
      <c r="J535" t="str">
        <f t="shared" si="13"/>
        <v>LOW</v>
      </c>
      <c r="K535" t="str">
        <f t="shared" si="14"/>
        <v>SAN hub replenishment - critical</v>
      </c>
    </row>
    <row r="536" spans="1:11" x14ac:dyDescent="0.25">
      <c r="A536">
        <v>46</v>
      </c>
      <c r="B536" t="s">
        <v>1555</v>
      </c>
      <c r="C536" t="s">
        <v>789</v>
      </c>
      <c r="D536" t="s">
        <v>601</v>
      </c>
      <c r="E536" t="s">
        <v>171</v>
      </c>
      <c r="F536" t="s">
        <v>83</v>
      </c>
      <c r="G536" t="s">
        <v>22</v>
      </c>
      <c r="H536" s="9">
        <v>59</v>
      </c>
      <c r="I536" s="9">
        <v>541</v>
      </c>
      <c r="J536" t="str">
        <f t="shared" si="13"/>
        <v>LOW</v>
      </c>
      <c r="K536" t="str">
        <f t="shared" si="14"/>
        <v>SAN hub replenishment - critical</v>
      </c>
    </row>
    <row r="537" spans="1:11" x14ac:dyDescent="0.25">
      <c r="A537">
        <v>47</v>
      </c>
      <c r="B537" t="s">
        <v>1103</v>
      </c>
      <c r="C537" t="s">
        <v>789</v>
      </c>
      <c r="D537" t="s">
        <v>229</v>
      </c>
      <c r="E537" t="s">
        <v>122</v>
      </c>
      <c r="F537" t="s">
        <v>83</v>
      </c>
      <c r="G537" t="s">
        <v>22</v>
      </c>
      <c r="H537" s="9">
        <v>57</v>
      </c>
      <c r="I537" s="9">
        <v>403</v>
      </c>
      <c r="J537" t="str">
        <f t="shared" si="13"/>
        <v>LOW</v>
      </c>
      <c r="K537" t="str">
        <f t="shared" si="14"/>
        <v>SAN hub replenishment - critical</v>
      </c>
    </row>
    <row r="538" spans="1:11" x14ac:dyDescent="0.25">
      <c r="A538">
        <v>48</v>
      </c>
      <c r="B538" t="s">
        <v>1555</v>
      </c>
      <c r="C538" t="s">
        <v>789</v>
      </c>
      <c r="D538" t="s">
        <v>601</v>
      </c>
      <c r="E538" t="s">
        <v>171</v>
      </c>
      <c r="F538" t="s">
        <v>35</v>
      </c>
      <c r="G538" t="s">
        <v>22</v>
      </c>
      <c r="H538" s="9">
        <v>50</v>
      </c>
      <c r="I538" s="9">
        <v>541</v>
      </c>
      <c r="J538" t="str">
        <f t="shared" si="13"/>
        <v>LOW</v>
      </c>
      <c r="K538" t="str">
        <f t="shared" si="14"/>
        <v>SAN hub replenishment - critical</v>
      </c>
    </row>
    <row r="539" spans="1:11" x14ac:dyDescent="0.25">
      <c r="A539">
        <v>49</v>
      </c>
      <c r="B539" t="s">
        <v>675</v>
      </c>
      <c r="C539" t="s">
        <v>18</v>
      </c>
      <c r="D539" t="s">
        <v>601</v>
      </c>
      <c r="E539" t="s">
        <v>122</v>
      </c>
      <c r="F539" t="s">
        <v>83</v>
      </c>
      <c r="G539" t="s">
        <v>62</v>
      </c>
      <c r="H539" s="9">
        <v>45</v>
      </c>
      <c r="I539" s="9">
        <v>55</v>
      </c>
      <c r="J539" t="str">
        <f t="shared" si="13"/>
        <v>LOW</v>
      </c>
      <c r="K539" t="str">
        <f t="shared" si="14"/>
        <v>Inter-warehouse balance</v>
      </c>
    </row>
    <row r="540" spans="1:11" x14ac:dyDescent="0.25">
      <c r="A540">
        <v>50</v>
      </c>
      <c r="B540" t="s">
        <v>1103</v>
      </c>
      <c r="C540" t="s">
        <v>789</v>
      </c>
      <c r="D540" t="s">
        <v>229</v>
      </c>
      <c r="E540" t="s">
        <v>122</v>
      </c>
      <c r="F540" t="s">
        <v>62</v>
      </c>
      <c r="G540" t="s">
        <v>22</v>
      </c>
      <c r="H540" s="9">
        <v>26</v>
      </c>
      <c r="I540" s="9">
        <v>403</v>
      </c>
      <c r="J540" t="str">
        <f t="shared" si="13"/>
        <v>LOW</v>
      </c>
      <c r="K540" t="str">
        <f t="shared" si="14"/>
        <v>SAN hub replenishment - critical</v>
      </c>
    </row>
    <row r="541" spans="1:11" x14ac:dyDescent="0.25">
      <c r="A541">
        <v>51</v>
      </c>
      <c r="B541" t="s">
        <v>228</v>
      </c>
      <c r="C541" t="s">
        <v>18</v>
      </c>
      <c r="D541" t="s">
        <v>229</v>
      </c>
      <c r="E541" t="s">
        <v>21</v>
      </c>
      <c r="F541" t="s">
        <v>62</v>
      </c>
      <c r="G541" t="s">
        <v>83</v>
      </c>
      <c r="H541" s="9">
        <v>24</v>
      </c>
      <c r="I541" s="9">
        <v>24</v>
      </c>
      <c r="J541" t="str">
        <f t="shared" si="13"/>
        <v>LOW</v>
      </c>
      <c r="K541" t="str">
        <f t="shared" si="14"/>
        <v>Inter-warehouse balance</v>
      </c>
    </row>
    <row r="542" spans="1:11" x14ac:dyDescent="0.25">
      <c r="A542">
        <v>52</v>
      </c>
      <c r="B542" t="s">
        <v>1103</v>
      </c>
      <c r="C542" t="s">
        <v>789</v>
      </c>
      <c r="D542" t="s">
        <v>229</v>
      </c>
      <c r="E542" t="s">
        <v>122</v>
      </c>
      <c r="F542" t="s">
        <v>35</v>
      </c>
      <c r="G542" t="s">
        <v>22</v>
      </c>
      <c r="H542" s="9">
        <v>22</v>
      </c>
      <c r="I542" s="9">
        <v>403</v>
      </c>
      <c r="J542" t="str">
        <f t="shared" si="13"/>
        <v>LOW</v>
      </c>
      <c r="K542" t="str">
        <f t="shared" si="14"/>
        <v>SAN hub replenishment - critical</v>
      </c>
    </row>
    <row r="543" spans="1:11" x14ac:dyDescent="0.25">
      <c r="A543">
        <v>53</v>
      </c>
      <c r="B543" t="s">
        <v>735</v>
      </c>
      <c r="C543" t="s">
        <v>18</v>
      </c>
      <c r="D543" t="s">
        <v>601</v>
      </c>
      <c r="E543" t="s">
        <v>171</v>
      </c>
      <c r="F543" t="s">
        <v>35</v>
      </c>
      <c r="G543" t="s">
        <v>22</v>
      </c>
      <c r="H543" s="9">
        <v>13</v>
      </c>
      <c r="I543" s="9">
        <v>493</v>
      </c>
      <c r="J543" t="str">
        <f t="shared" si="13"/>
        <v>LOW</v>
      </c>
      <c r="K543" t="str">
        <f t="shared" si="14"/>
        <v>SAN hub replenishment - critical</v>
      </c>
    </row>
    <row r="544" spans="1:11" x14ac:dyDescent="0.25">
      <c r="A544">
        <v>54</v>
      </c>
      <c r="B544" t="s">
        <v>675</v>
      </c>
      <c r="C544" t="s">
        <v>18</v>
      </c>
      <c r="D544" t="s">
        <v>601</v>
      </c>
      <c r="E544" t="s">
        <v>122</v>
      </c>
      <c r="F544" t="s">
        <v>35</v>
      </c>
      <c r="G544" t="s">
        <v>62</v>
      </c>
      <c r="H544" s="9">
        <v>10</v>
      </c>
      <c r="I544" s="9">
        <v>55</v>
      </c>
      <c r="J544" t="str">
        <f t="shared" si="13"/>
        <v>LOW</v>
      </c>
      <c r="K544" t="str">
        <f t="shared" si="14"/>
        <v>Inter-warehouse balance</v>
      </c>
    </row>
    <row r="545" spans="1:14" x14ac:dyDescent="0.25">
      <c r="A545">
        <v>55</v>
      </c>
      <c r="B545" t="s">
        <v>2310</v>
      </c>
      <c r="C545" t="s">
        <v>2170</v>
      </c>
      <c r="D545" t="s">
        <v>2311</v>
      </c>
      <c r="E545" t="s">
        <v>21</v>
      </c>
      <c r="F545" t="s">
        <v>62</v>
      </c>
      <c r="G545" t="s">
        <v>29</v>
      </c>
      <c r="H545" s="9">
        <v>8</v>
      </c>
      <c r="I545" s="9">
        <v>8</v>
      </c>
      <c r="J545" t="str">
        <f t="shared" si="13"/>
        <v>LOW</v>
      </c>
      <c r="K545" t="str">
        <f t="shared" si="14"/>
        <v>WOO distribution center fill</v>
      </c>
    </row>
    <row r="546" spans="1:14" x14ac:dyDescent="0.25">
      <c r="A546">
        <v>56</v>
      </c>
      <c r="B546" t="s">
        <v>305</v>
      </c>
      <c r="C546" t="s">
        <v>18</v>
      </c>
      <c r="D546" t="s">
        <v>229</v>
      </c>
      <c r="E546" t="s">
        <v>122</v>
      </c>
      <c r="F546" t="s">
        <v>62</v>
      </c>
      <c r="G546" t="s">
        <v>22</v>
      </c>
      <c r="H546" s="9">
        <v>7</v>
      </c>
      <c r="I546" s="9">
        <v>686</v>
      </c>
      <c r="J546" t="str">
        <f t="shared" si="13"/>
        <v>LOW</v>
      </c>
      <c r="K546" t="str">
        <f t="shared" si="14"/>
        <v>SAN hub replenishment - critical</v>
      </c>
    </row>
    <row r="548" spans="1:14" ht="15.75" x14ac:dyDescent="0.25">
      <c r="A548" s="14" t="s">
        <v>2750</v>
      </c>
      <c r="B548" s="15"/>
      <c r="C548" s="15"/>
      <c r="D548" s="15"/>
      <c r="E548" s="15"/>
      <c r="F548" s="15"/>
      <c r="G548" s="15"/>
      <c r="H548" s="15"/>
      <c r="I548" s="15"/>
      <c r="J548" s="15"/>
      <c r="K548" s="15"/>
    </row>
    <row r="549" spans="1:14" x14ac:dyDescent="0.25">
      <c r="A549" t="s">
        <v>2751</v>
      </c>
      <c r="B549">
        <f>COUNTA(A491:A546)</f>
        <v>56</v>
      </c>
    </row>
    <row r="550" spans="1:14" x14ac:dyDescent="0.25">
      <c r="A550" t="s">
        <v>2752</v>
      </c>
      <c r="B550" s="9">
        <f>SUM(H491:H546)</f>
        <v>13175</v>
      </c>
    </row>
    <row r="551" spans="1:14" x14ac:dyDescent="0.25">
      <c r="A551" t="s">
        <v>2753</v>
      </c>
      <c r="B551">
        <f>COUNTIF(J491:J546,"HIGH")</f>
        <v>18</v>
      </c>
    </row>
    <row r="552" spans="1:14" x14ac:dyDescent="0.25">
      <c r="A552" t="s">
        <v>2754</v>
      </c>
      <c r="B552" cm="1">
        <f t="array" ref="B552">SUMPRODUCT(1/COUNTIF(B491:B546,B491:B546))</f>
        <v>37</v>
      </c>
    </row>
    <row r="553" spans="1:14" x14ac:dyDescent="0.25">
      <c r="A553" t="s">
        <v>2755</v>
      </c>
      <c r="B553">
        <f>COUNTIF(G491:G546,"SAN")</f>
        <v>45</v>
      </c>
    </row>
    <row r="555" spans="1:14" ht="18.75" x14ac:dyDescent="0.3">
      <c r="A555" s="17" t="s">
        <v>2756</v>
      </c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</row>
    <row r="556" spans="1:14" x14ac:dyDescent="0.25">
      <c r="A556" s="16" t="s">
        <v>0</v>
      </c>
      <c r="B556" s="16" t="s">
        <v>2715</v>
      </c>
      <c r="C556" s="16" t="s">
        <v>2</v>
      </c>
      <c r="D556" s="16" t="s">
        <v>3</v>
      </c>
      <c r="E556" s="16" t="s">
        <v>4</v>
      </c>
      <c r="F556" s="16" t="s">
        <v>2757</v>
      </c>
      <c r="G556" s="16" t="s">
        <v>2758</v>
      </c>
      <c r="H556" s="16" t="s">
        <v>2759</v>
      </c>
      <c r="I556" s="16" t="s">
        <v>2760</v>
      </c>
      <c r="J556" s="16" t="s">
        <v>2761</v>
      </c>
      <c r="K556" s="16" t="s">
        <v>2762</v>
      </c>
      <c r="L556" s="16" t="s">
        <v>2763</v>
      </c>
      <c r="M556" s="16" t="s">
        <v>2764</v>
      </c>
      <c r="N556" s="16" t="s">
        <v>2765</v>
      </c>
    </row>
    <row r="557" spans="1:14" x14ac:dyDescent="0.25">
      <c r="A557" t="s">
        <v>1035</v>
      </c>
      <c r="B557" t="s">
        <v>789</v>
      </c>
      <c r="C557" t="s">
        <v>19</v>
      </c>
      <c r="D557" t="s">
        <v>20</v>
      </c>
      <c r="E557" t="s">
        <v>830</v>
      </c>
      <c r="F557" s="9">
        <v>233</v>
      </c>
      <c r="G557" s="9">
        <v>10</v>
      </c>
      <c r="H557" s="9">
        <v>223</v>
      </c>
      <c r="I557" s="9">
        <v>369</v>
      </c>
      <c r="J557" s="11">
        <f>IF(I557=0,"N/A",H557/I557)</f>
        <v>0.60433604336043356</v>
      </c>
      <c r="K557">
        <v>3</v>
      </c>
      <c r="L557">
        <v>3</v>
      </c>
      <c r="M557">
        <v>0</v>
      </c>
      <c r="N557" t="str">
        <f>IF(ISNUMBER(J557),IF(J557&lt;1,"UNDER-STOCKED",IF(J557&lt;5,"ADEQUATE","OVERSTOCKED")),"N/A")</f>
        <v>UNDER-STOCKED</v>
      </c>
    </row>
    <row r="558" spans="1:14" x14ac:dyDescent="0.25">
      <c r="A558" t="s">
        <v>1172</v>
      </c>
      <c r="B558" t="s">
        <v>789</v>
      </c>
      <c r="C558" t="s">
        <v>19</v>
      </c>
      <c r="D558" t="s">
        <v>229</v>
      </c>
      <c r="E558" t="s">
        <v>817</v>
      </c>
      <c r="F558" s="9">
        <v>271</v>
      </c>
      <c r="G558" s="9">
        <v>9</v>
      </c>
      <c r="H558" s="9">
        <v>262</v>
      </c>
      <c r="I558" s="9">
        <v>370</v>
      </c>
      <c r="J558" s="11">
        <f t="shared" ref="J558:J621" si="15">IF(I558=0,"N/A",H558/I558)</f>
        <v>0.70810810810810809</v>
      </c>
      <c r="K558">
        <v>3</v>
      </c>
      <c r="L558">
        <v>3</v>
      </c>
      <c r="M558">
        <v>0</v>
      </c>
      <c r="N558" t="str">
        <f t="shared" ref="N558:N621" si="16">IF(ISNUMBER(J558),IF(J558&lt;1,"UNDER-STOCKED",IF(J558&lt;5,"ADEQUATE","OVERSTOCKED")),"N/A")</f>
        <v>UNDER-STOCKED</v>
      </c>
    </row>
    <row r="559" spans="1:14" x14ac:dyDescent="0.25">
      <c r="A559" t="s">
        <v>1241</v>
      </c>
      <c r="B559" t="s">
        <v>789</v>
      </c>
      <c r="C559" t="s">
        <v>19</v>
      </c>
      <c r="D559" t="s">
        <v>229</v>
      </c>
      <c r="E559" t="s">
        <v>843</v>
      </c>
      <c r="F559" s="9">
        <v>228</v>
      </c>
      <c r="G559" s="9">
        <v>9</v>
      </c>
      <c r="H559" s="9">
        <v>219</v>
      </c>
      <c r="I559" s="9">
        <v>281</v>
      </c>
      <c r="J559" s="11">
        <f t="shared" si="15"/>
        <v>0.77935943060498225</v>
      </c>
      <c r="K559">
        <v>3</v>
      </c>
      <c r="L559">
        <v>3</v>
      </c>
      <c r="M559">
        <v>0</v>
      </c>
      <c r="N559" t="str">
        <f t="shared" si="16"/>
        <v>UNDER-STOCKED</v>
      </c>
    </row>
    <row r="560" spans="1:14" x14ac:dyDescent="0.25">
      <c r="A560" t="s">
        <v>1162</v>
      </c>
      <c r="B560" t="s">
        <v>789</v>
      </c>
      <c r="C560" t="s">
        <v>19</v>
      </c>
      <c r="D560" t="s">
        <v>229</v>
      </c>
      <c r="E560" t="s">
        <v>804</v>
      </c>
      <c r="F560" s="9">
        <v>328</v>
      </c>
      <c r="G560" s="9">
        <v>18</v>
      </c>
      <c r="H560" s="9">
        <v>310</v>
      </c>
      <c r="I560" s="9">
        <v>369</v>
      </c>
      <c r="J560" s="11">
        <f t="shared" si="15"/>
        <v>0.84010840108401086</v>
      </c>
      <c r="K560">
        <v>3</v>
      </c>
      <c r="L560">
        <v>3</v>
      </c>
      <c r="M560">
        <v>0</v>
      </c>
      <c r="N560" t="str">
        <f t="shared" si="16"/>
        <v>UNDER-STOCKED</v>
      </c>
    </row>
    <row r="561" spans="1:14" x14ac:dyDescent="0.25">
      <c r="A561" t="s">
        <v>1389</v>
      </c>
      <c r="B561" t="s">
        <v>789</v>
      </c>
      <c r="C561" t="s">
        <v>19</v>
      </c>
      <c r="D561" t="s">
        <v>434</v>
      </c>
      <c r="E561" t="s">
        <v>817</v>
      </c>
      <c r="F561" s="9">
        <v>359</v>
      </c>
      <c r="G561" s="9">
        <v>18</v>
      </c>
      <c r="H561" s="9">
        <v>341</v>
      </c>
      <c r="I561" s="9">
        <v>396</v>
      </c>
      <c r="J561" s="11">
        <f t="shared" si="15"/>
        <v>0.86111111111111116</v>
      </c>
      <c r="K561">
        <v>3</v>
      </c>
      <c r="L561">
        <v>3</v>
      </c>
      <c r="M561">
        <v>0</v>
      </c>
      <c r="N561" t="str">
        <f t="shared" si="16"/>
        <v>UNDER-STOCKED</v>
      </c>
    </row>
    <row r="562" spans="1:14" x14ac:dyDescent="0.25">
      <c r="A562" t="s">
        <v>788</v>
      </c>
      <c r="B562" t="s">
        <v>789</v>
      </c>
      <c r="C562" t="s">
        <v>19</v>
      </c>
      <c r="D562" t="s">
        <v>601</v>
      </c>
      <c r="E562" t="s">
        <v>790</v>
      </c>
      <c r="F562" s="9">
        <v>366</v>
      </c>
      <c r="G562" s="9">
        <v>16</v>
      </c>
      <c r="H562" s="9">
        <v>350</v>
      </c>
      <c r="I562" s="9">
        <v>385</v>
      </c>
      <c r="J562" s="11">
        <f t="shared" si="15"/>
        <v>0.90909090909090906</v>
      </c>
      <c r="K562">
        <v>3</v>
      </c>
      <c r="L562">
        <v>3</v>
      </c>
      <c r="M562">
        <v>0</v>
      </c>
      <c r="N562" t="str">
        <f t="shared" si="16"/>
        <v>UNDER-STOCKED</v>
      </c>
    </row>
    <row r="563" spans="1:14" x14ac:dyDescent="0.25">
      <c r="A563" t="s">
        <v>803</v>
      </c>
      <c r="B563" t="s">
        <v>789</v>
      </c>
      <c r="C563" t="s">
        <v>19</v>
      </c>
      <c r="D563" t="s">
        <v>601</v>
      </c>
      <c r="E563" t="s">
        <v>804</v>
      </c>
      <c r="F563" s="9">
        <v>328</v>
      </c>
      <c r="G563" s="9">
        <v>17</v>
      </c>
      <c r="H563" s="9">
        <v>311</v>
      </c>
      <c r="I563" s="9">
        <v>329</v>
      </c>
      <c r="J563" s="11">
        <f t="shared" si="15"/>
        <v>0.94528875379939215</v>
      </c>
      <c r="K563">
        <v>3</v>
      </c>
      <c r="L563">
        <v>3</v>
      </c>
      <c r="M563">
        <v>0</v>
      </c>
      <c r="N563" t="str">
        <f t="shared" si="16"/>
        <v>UNDER-STOCKED</v>
      </c>
    </row>
    <row r="564" spans="1:14" x14ac:dyDescent="0.25">
      <c r="A564" t="s">
        <v>961</v>
      </c>
      <c r="B564" t="s">
        <v>789</v>
      </c>
      <c r="C564" t="s">
        <v>19</v>
      </c>
      <c r="D564" t="s">
        <v>20</v>
      </c>
      <c r="E564" t="s">
        <v>790</v>
      </c>
      <c r="F564" s="9">
        <v>405</v>
      </c>
      <c r="G564" s="9">
        <v>15</v>
      </c>
      <c r="H564" s="9">
        <v>390</v>
      </c>
      <c r="I564" s="9">
        <v>368</v>
      </c>
      <c r="J564" s="11">
        <f t="shared" si="15"/>
        <v>1.0597826086956521</v>
      </c>
      <c r="K564">
        <v>3</v>
      </c>
      <c r="L564">
        <v>3</v>
      </c>
      <c r="M564">
        <v>0</v>
      </c>
      <c r="N564" t="str">
        <f t="shared" si="16"/>
        <v>ADEQUATE</v>
      </c>
    </row>
    <row r="565" spans="1:14" x14ac:dyDescent="0.25">
      <c r="A565" t="s">
        <v>816</v>
      </c>
      <c r="B565" t="s">
        <v>789</v>
      </c>
      <c r="C565" t="s">
        <v>19</v>
      </c>
      <c r="D565" t="s">
        <v>601</v>
      </c>
      <c r="E565" t="s">
        <v>817</v>
      </c>
      <c r="F565" s="9">
        <v>387</v>
      </c>
      <c r="G565" s="9">
        <v>6</v>
      </c>
      <c r="H565" s="9">
        <v>381</v>
      </c>
      <c r="I565" s="9">
        <v>358</v>
      </c>
      <c r="J565" s="11">
        <f t="shared" si="15"/>
        <v>1.0642458100558658</v>
      </c>
      <c r="K565">
        <v>3</v>
      </c>
      <c r="L565">
        <v>3</v>
      </c>
      <c r="M565">
        <v>0</v>
      </c>
      <c r="N565" t="str">
        <f t="shared" si="16"/>
        <v>ADEQUATE</v>
      </c>
    </row>
    <row r="566" spans="1:14" x14ac:dyDescent="0.25">
      <c r="A566" t="s">
        <v>1378</v>
      </c>
      <c r="B566" t="s">
        <v>789</v>
      </c>
      <c r="C566" t="s">
        <v>19</v>
      </c>
      <c r="D566" t="s">
        <v>434</v>
      </c>
      <c r="E566" t="s">
        <v>804</v>
      </c>
      <c r="F566" s="9">
        <v>430</v>
      </c>
      <c r="G566" s="9">
        <v>18</v>
      </c>
      <c r="H566" s="9">
        <v>412</v>
      </c>
      <c r="I566" s="9">
        <v>382</v>
      </c>
      <c r="J566" s="11">
        <f t="shared" si="15"/>
        <v>1.0785340314136125</v>
      </c>
      <c r="K566">
        <v>3</v>
      </c>
      <c r="L566">
        <v>3</v>
      </c>
      <c r="M566">
        <v>0</v>
      </c>
      <c r="N566" t="str">
        <f t="shared" si="16"/>
        <v>ADEQUATE</v>
      </c>
    </row>
    <row r="567" spans="1:14" x14ac:dyDescent="0.25">
      <c r="A567" t="s">
        <v>1046</v>
      </c>
      <c r="B567" t="s">
        <v>789</v>
      </c>
      <c r="C567" t="s">
        <v>19</v>
      </c>
      <c r="D567" t="s">
        <v>20</v>
      </c>
      <c r="E567" t="s">
        <v>843</v>
      </c>
      <c r="F567" s="9">
        <v>412</v>
      </c>
      <c r="G567" s="9">
        <v>7</v>
      </c>
      <c r="H567" s="9">
        <v>405</v>
      </c>
      <c r="I567" s="9">
        <v>366</v>
      </c>
      <c r="J567" s="11">
        <f t="shared" si="15"/>
        <v>1.1065573770491803</v>
      </c>
      <c r="K567">
        <v>3</v>
      </c>
      <c r="L567">
        <v>3</v>
      </c>
      <c r="M567">
        <v>0</v>
      </c>
      <c r="N567" t="str">
        <f t="shared" si="16"/>
        <v>ADEQUATE</v>
      </c>
    </row>
    <row r="568" spans="1:14" x14ac:dyDescent="0.25">
      <c r="A568" t="s">
        <v>1368</v>
      </c>
      <c r="B568" t="s">
        <v>789</v>
      </c>
      <c r="C568" t="s">
        <v>19</v>
      </c>
      <c r="D568" t="s">
        <v>434</v>
      </c>
      <c r="E568" t="s">
        <v>790</v>
      </c>
      <c r="F568" s="9">
        <v>406</v>
      </c>
      <c r="G568" s="9">
        <v>12</v>
      </c>
      <c r="H568" s="9">
        <v>394</v>
      </c>
      <c r="I568" s="9">
        <v>356</v>
      </c>
      <c r="J568" s="11">
        <f t="shared" si="15"/>
        <v>1.1067415730337078</v>
      </c>
      <c r="K568">
        <v>3</v>
      </c>
      <c r="L568">
        <v>3</v>
      </c>
      <c r="M568">
        <v>0</v>
      </c>
      <c r="N568" t="str">
        <f t="shared" si="16"/>
        <v>ADEQUATE</v>
      </c>
    </row>
    <row r="569" spans="1:14" x14ac:dyDescent="0.25">
      <c r="A569" t="s">
        <v>981</v>
      </c>
      <c r="B569" t="s">
        <v>789</v>
      </c>
      <c r="C569" t="s">
        <v>19</v>
      </c>
      <c r="D569" t="s">
        <v>20</v>
      </c>
      <c r="E569" t="s">
        <v>817</v>
      </c>
      <c r="F569" s="9">
        <v>405</v>
      </c>
      <c r="G569" s="9">
        <v>16</v>
      </c>
      <c r="H569" s="9">
        <v>389</v>
      </c>
      <c r="I569" s="9">
        <v>348</v>
      </c>
      <c r="J569" s="11">
        <f t="shared" si="15"/>
        <v>1.117816091954023</v>
      </c>
      <c r="K569">
        <v>3</v>
      </c>
      <c r="L569">
        <v>3</v>
      </c>
      <c r="M569">
        <v>0</v>
      </c>
      <c r="N569" t="str">
        <f t="shared" si="16"/>
        <v>ADEQUATE</v>
      </c>
    </row>
    <row r="570" spans="1:14" x14ac:dyDescent="0.25">
      <c r="A570" t="s">
        <v>993</v>
      </c>
      <c r="B570" t="s">
        <v>789</v>
      </c>
      <c r="C570" t="s">
        <v>19</v>
      </c>
      <c r="D570" t="s">
        <v>20</v>
      </c>
      <c r="E570" t="s">
        <v>171</v>
      </c>
      <c r="F570" s="9">
        <v>1172</v>
      </c>
      <c r="G570" s="9">
        <v>402</v>
      </c>
      <c r="H570" s="9">
        <v>770</v>
      </c>
      <c r="I570" s="9">
        <v>668</v>
      </c>
      <c r="J570" s="11">
        <f t="shared" si="15"/>
        <v>1.152694610778443</v>
      </c>
      <c r="K570">
        <v>5</v>
      </c>
      <c r="L570">
        <v>11</v>
      </c>
      <c r="M570">
        <v>3</v>
      </c>
      <c r="N570" t="str">
        <f t="shared" si="16"/>
        <v>ADEQUATE</v>
      </c>
    </row>
    <row r="571" spans="1:14" x14ac:dyDescent="0.25">
      <c r="A571" t="s">
        <v>1454</v>
      </c>
      <c r="B571" t="s">
        <v>789</v>
      </c>
      <c r="C571" t="s">
        <v>19</v>
      </c>
      <c r="D571" t="s">
        <v>434</v>
      </c>
      <c r="E571" t="s">
        <v>843</v>
      </c>
      <c r="F571" s="9">
        <v>381</v>
      </c>
      <c r="G571" s="9">
        <v>23</v>
      </c>
      <c r="H571" s="9">
        <v>358</v>
      </c>
      <c r="I571" s="9">
        <v>301</v>
      </c>
      <c r="J571" s="11">
        <f t="shared" si="15"/>
        <v>1.1893687707641196</v>
      </c>
      <c r="K571">
        <v>3</v>
      </c>
      <c r="L571">
        <v>3</v>
      </c>
      <c r="M571">
        <v>0</v>
      </c>
      <c r="N571" t="str">
        <f t="shared" si="16"/>
        <v>ADEQUATE</v>
      </c>
    </row>
    <row r="572" spans="1:14" x14ac:dyDescent="0.25">
      <c r="A572" t="s">
        <v>1150</v>
      </c>
      <c r="B572" t="s">
        <v>789</v>
      </c>
      <c r="C572" t="s">
        <v>19</v>
      </c>
      <c r="D572" t="s">
        <v>229</v>
      </c>
      <c r="E572" t="s">
        <v>790</v>
      </c>
      <c r="F572" s="9">
        <v>421</v>
      </c>
      <c r="G572" s="9">
        <v>10</v>
      </c>
      <c r="H572" s="9">
        <v>411</v>
      </c>
      <c r="I572" s="9">
        <v>341</v>
      </c>
      <c r="J572" s="11">
        <f t="shared" si="15"/>
        <v>1.2052785923753666</v>
      </c>
      <c r="K572">
        <v>3</v>
      </c>
      <c r="L572">
        <v>3</v>
      </c>
      <c r="M572">
        <v>0</v>
      </c>
      <c r="N572" t="str">
        <f t="shared" si="16"/>
        <v>ADEQUATE</v>
      </c>
    </row>
    <row r="573" spans="1:14" x14ac:dyDescent="0.25">
      <c r="A573" t="s">
        <v>842</v>
      </c>
      <c r="B573" t="s">
        <v>789</v>
      </c>
      <c r="C573" t="s">
        <v>19</v>
      </c>
      <c r="D573" t="s">
        <v>601</v>
      </c>
      <c r="E573" t="s">
        <v>843</v>
      </c>
      <c r="F573" s="9">
        <v>497</v>
      </c>
      <c r="G573" s="9">
        <v>24</v>
      </c>
      <c r="H573" s="9">
        <v>473</v>
      </c>
      <c r="I573" s="9">
        <v>341</v>
      </c>
      <c r="J573" s="11">
        <f t="shared" si="15"/>
        <v>1.3870967741935485</v>
      </c>
      <c r="K573">
        <v>3</v>
      </c>
      <c r="L573">
        <v>3</v>
      </c>
      <c r="M573">
        <v>0</v>
      </c>
      <c r="N573" t="str">
        <f t="shared" si="16"/>
        <v>ADEQUATE</v>
      </c>
    </row>
    <row r="574" spans="1:14" x14ac:dyDescent="0.25">
      <c r="A574" t="s">
        <v>829</v>
      </c>
      <c r="B574" t="s">
        <v>789</v>
      </c>
      <c r="C574" t="s">
        <v>19</v>
      </c>
      <c r="D574" t="s">
        <v>601</v>
      </c>
      <c r="E574" t="s">
        <v>830</v>
      </c>
      <c r="F574" s="9">
        <v>440</v>
      </c>
      <c r="G574" s="9">
        <v>11</v>
      </c>
      <c r="H574" s="9">
        <v>429</v>
      </c>
      <c r="I574" s="9">
        <v>292</v>
      </c>
      <c r="J574" s="11">
        <f t="shared" si="15"/>
        <v>1.4691780821917808</v>
      </c>
      <c r="K574">
        <v>3</v>
      </c>
      <c r="L574">
        <v>3</v>
      </c>
      <c r="M574">
        <v>0</v>
      </c>
      <c r="N574" t="str">
        <f t="shared" si="16"/>
        <v>ADEQUATE</v>
      </c>
    </row>
    <row r="575" spans="1:14" x14ac:dyDescent="0.25">
      <c r="A575" t="s">
        <v>1230</v>
      </c>
      <c r="B575" t="s">
        <v>789</v>
      </c>
      <c r="C575" t="s">
        <v>19</v>
      </c>
      <c r="D575" t="s">
        <v>229</v>
      </c>
      <c r="E575" t="s">
        <v>830</v>
      </c>
      <c r="F575" s="9">
        <v>459</v>
      </c>
      <c r="G575" s="9">
        <v>9</v>
      </c>
      <c r="H575" s="9">
        <v>450</v>
      </c>
      <c r="I575" s="9">
        <v>306</v>
      </c>
      <c r="J575" s="11">
        <f t="shared" si="15"/>
        <v>1.4705882352941178</v>
      </c>
      <c r="K575">
        <v>3</v>
      </c>
      <c r="L575">
        <v>3</v>
      </c>
      <c r="M575">
        <v>0</v>
      </c>
      <c r="N575" t="str">
        <f t="shared" si="16"/>
        <v>ADEQUATE</v>
      </c>
    </row>
    <row r="576" spans="1:14" x14ac:dyDescent="0.25">
      <c r="A576" t="s">
        <v>554</v>
      </c>
      <c r="B576" t="s">
        <v>18</v>
      </c>
      <c r="C576" t="s">
        <v>19</v>
      </c>
      <c r="D576" t="s">
        <v>434</v>
      </c>
      <c r="E576" t="s">
        <v>171</v>
      </c>
      <c r="F576" s="9">
        <v>1109</v>
      </c>
      <c r="G576" s="9">
        <v>591</v>
      </c>
      <c r="H576" s="9">
        <v>526</v>
      </c>
      <c r="I576" s="9">
        <v>353</v>
      </c>
      <c r="J576" s="11">
        <f t="shared" si="15"/>
        <v>1.4900849858356942</v>
      </c>
      <c r="K576">
        <v>4</v>
      </c>
      <c r="L576">
        <v>12</v>
      </c>
      <c r="M576">
        <v>4</v>
      </c>
      <c r="N576" t="str">
        <f t="shared" si="16"/>
        <v>ADEQUATE</v>
      </c>
    </row>
    <row r="577" spans="1:14" x14ac:dyDescent="0.25">
      <c r="A577" t="s">
        <v>973</v>
      </c>
      <c r="B577" t="s">
        <v>789</v>
      </c>
      <c r="C577" t="s">
        <v>19</v>
      </c>
      <c r="D577" t="s">
        <v>20</v>
      </c>
      <c r="E577" t="s">
        <v>804</v>
      </c>
      <c r="F577" s="9">
        <v>519</v>
      </c>
      <c r="G577" s="9">
        <v>18</v>
      </c>
      <c r="H577" s="9">
        <v>501</v>
      </c>
      <c r="I577" s="9">
        <v>335</v>
      </c>
      <c r="J577" s="11">
        <f t="shared" si="15"/>
        <v>1.4955223880597015</v>
      </c>
      <c r="K577">
        <v>3</v>
      </c>
      <c r="L577">
        <v>3</v>
      </c>
      <c r="M577">
        <v>0</v>
      </c>
      <c r="N577" t="str">
        <f t="shared" si="16"/>
        <v>ADEQUATE</v>
      </c>
    </row>
    <row r="578" spans="1:14" x14ac:dyDescent="0.25">
      <c r="A578" t="s">
        <v>491</v>
      </c>
      <c r="B578" t="s">
        <v>18</v>
      </c>
      <c r="C578" t="s">
        <v>19</v>
      </c>
      <c r="D578" t="s">
        <v>434</v>
      </c>
      <c r="E578" t="s">
        <v>122</v>
      </c>
      <c r="F578" s="9">
        <v>1814</v>
      </c>
      <c r="G578" s="9">
        <v>718</v>
      </c>
      <c r="H578" s="9">
        <v>1102</v>
      </c>
      <c r="I578" s="9">
        <v>679</v>
      </c>
      <c r="J578" s="11">
        <f t="shared" si="15"/>
        <v>1.6229749631811488</v>
      </c>
      <c r="K578">
        <v>4</v>
      </c>
      <c r="L578">
        <v>17</v>
      </c>
      <c r="M578">
        <v>2</v>
      </c>
      <c r="N578" t="str">
        <f t="shared" si="16"/>
        <v>ADEQUATE</v>
      </c>
    </row>
    <row r="579" spans="1:14" x14ac:dyDescent="0.25">
      <c r="A579" t="s">
        <v>1319</v>
      </c>
      <c r="B579" t="s">
        <v>789</v>
      </c>
      <c r="C579" t="s">
        <v>19</v>
      </c>
      <c r="D579" t="s">
        <v>434</v>
      </c>
      <c r="E579" t="s">
        <v>122</v>
      </c>
      <c r="F579" s="9">
        <v>1591</v>
      </c>
      <c r="G579" s="9">
        <v>661</v>
      </c>
      <c r="H579" s="9">
        <v>936</v>
      </c>
      <c r="I579" s="9">
        <v>564</v>
      </c>
      <c r="J579" s="11">
        <f t="shared" si="15"/>
        <v>1.6595744680851063</v>
      </c>
      <c r="K579">
        <v>4</v>
      </c>
      <c r="L579">
        <v>14</v>
      </c>
      <c r="M579">
        <v>6</v>
      </c>
      <c r="N579" t="str">
        <f t="shared" si="16"/>
        <v>ADEQUATE</v>
      </c>
    </row>
    <row r="580" spans="1:14" x14ac:dyDescent="0.25">
      <c r="A580" t="s">
        <v>121</v>
      </c>
      <c r="B580" t="s">
        <v>18</v>
      </c>
      <c r="C580" t="s">
        <v>19</v>
      </c>
      <c r="D580" t="s">
        <v>20</v>
      </c>
      <c r="E580" t="s">
        <v>122</v>
      </c>
      <c r="F580" s="9">
        <v>1420</v>
      </c>
      <c r="G580" s="9">
        <v>453</v>
      </c>
      <c r="H580" s="9">
        <v>967</v>
      </c>
      <c r="I580" s="9">
        <v>566</v>
      </c>
      <c r="J580" s="11">
        <f t="shared" si="15"/>
        <v>1.7084805653710247</v>
      </c>
      <c r="K580">
        <v>4</v>
      </c>
      <c r="L580">
        <v>12</v>
      </c>
      <c r="M580">
        <v>3</v>
      </c>
      <c r="N580" t="str">
        <f t="shared" si="16"/>
        <v>ADEQUATE</v>
      </c>
    </row>
    <row r="581" spans="1:14" x14ac:dyDescent="0.25">
      <c r="A581" t="s">
        <v>1443</v>
      </c>
      <c r="B581" t="s">
        <v>789</v>
      </c>
      <c r="C581" t="s">
        <v>19</v>
      </c>
      <c r="D581" t="s">
        <v>434</v>
      </c>
      <c r="E581" t="s">
        <v>830</v>
      </c>
      <c r="F581" s="9">
        <v>509</v>
      </c>
      <c r="G581" s="9">
        <v>13</v>
      </c>
      <c r="H581" s="9">
        <v>496</v>
      </c>
      <c r="I581" s="9">
        <v>272</v>
      </c>
      <c r="J581" s="11">
        <f t="shared" si="15"/>
        <v>1.8235294117647058</v>
      </c>
      <c r="K581">
        <v>3</v>
      </c>
      <c r="L581">
        <v>3</v>
      </c>
      <c r="M581">
        <v>0</v>
      </c>
      <c r="N581" t="str">
        <f t="shared" si="16"/>
        <v>ADEQUATE</v>
      </c>
    </row>
    <row r="582" spans="1:14" x14ac:dyDescent="0.25">
      <c r="A582" t="s">
        <v>1184</v>
      </c>
      <c r="B582" t="s">
        <v>789</v>
      </c>
      <c r="C582" t="s">
        <v>19</v>
      </c>
      <c r="D582" t="s">
        <v>229</v>
      </c>
      <c r="E582" t="s">
        <v>171</v>
      </c>
      <c r="F582" s="9">
        <v>1540</v>
      </c>
      <c r="G582" s="9">
        <v>838</v>
      </c>
      <c r="H582" s="9">
        <v>702</v>
      </c>
      <c r="I582" s="9">
        <v>378</v>
      </c>
      <c r="J582" s="11">
        <f t="shared" si="15"/>
        <v>1.8571428571428572</v>
      </c>
      <c r="K582">
        <v>5</v>
      </c>
      <c r="L582">
        <v>14</v>
      </c>
      <c r="M582">
        <v>3</v>
      </c>
      <c r="N582" t="str">
        <f t="shared" si="16"/>
        <v>ADEQUATE</v>
      </c>
    </row>
    <row r="583" spans="1:14" x14ac:dyDescent="0.25">
      <c r="A583" t="s">
        <v>1555</v>
      </c>
      <c r="B583" t="s">
        <v>789</v>
      </c>
      <c r="C583" t="s">
        <v>19</v>
      </c>
      <c r="D583" t="s">
        <v>601</v>
      </c>
      <c r="E583" t="s">
        <v>171</v>
      </c>
      <c r="F583" s="9">
        <v>1768</v>
      </c>
      <c r="G583" s="9">
        <v>728</v>
      </c>
      <c r="H583" s="9">
        <v>1067</v>
      </c>
      <c r="I583" s="9">
        <v>544</v>
      </c>
      <c r="J583" s="11">
        <f t="shared" si="15"/>
        <v>1.9613970588235294</v>
      </c>
      <c r="K583">
        <v>5</v>
      </c>
      <c r="L583">
        <v>16</v>
      </c>
      <c r="M583">
        <v>5</v>
      </c>
      <c r="N583" t="str">
        <f t="shared" si="16"/>
        <v>ADEQUATE</v>
      </c>
    </row>
    <row r="584" spans="1:14" x14ac:dyDescent="0.25">
      <c r="A584" t="s">
        <v>305</v>
      </c>
      <c r="B584" t="s">
        <v>18</v>
      </c>
      <c r="C584" t="s">
        <v>19</v>
      </c>
      <c r="D584" t="s">
        <v>229</v>
      </c>
      <c r="E584" t="s">
        <v>122</v>
      </c>
      <c r="F584" s="9">
        <v>2119</v>
      </c>
      <c r="G584" s="9">
        <v>756</v>
      </c>
      <c r="H584" s="9">
        <v>1363</v>
      </c>
      <c r="I584" s="9">
        <v>687</v>
      </c>
      <c r="J584" s="11">
        <f t="shared" si="15"/>
        <v>1.9839883551673945</v>
      </c>
      <c r="K584">
        <v>4</v>
      </c>
      <c r="L584">
        <v>17</v>
      </c>
      <c r="M584">
        <v>3</v>
      </c>
      <c r="N584" t="str">
        <f t="shared" si="16"/>
        <v>ADEQUATE</v>
      </c>
    </row>
    <row r="585" spans="1:14" x14ac:dyDescent="0.25">
      <c r="A585" t="s">
        <v>1500</v>
      </c>
      <c r="B585" t="s">
        <v>789</v>
      </c>
      <c r="C585" t="s">
        <v>19</v>
      </c>
      <c r="D585" t="s">
        <v>601</v>
      </c>
      <c r="E585" t="s">
        <v>122</v>
      </c>
      <c r="F585" s="9">
        <v>1714</v>
      </c>
      <c r="G585" s="9">
        <v>639</v>
      </c>
      <c r="H585" s="9">
        <v>1075</v>
      </c>
      <c r="I585" s="9">
        <v>530</v>
      </c>
      <c r="J585" s="11">
        <f t="shared" si="15"/>
        <v>2.0283018867924527</v>
      </c>
      <c r="K585">
        <v>4</v>
      </c>
      <c r="L585">
        <v>16</v>
      </c>
      <c r="M585">
        <v>4</v>
      </c>
      <c r="N585" t="str">
        <f t="shared" si="16"/>
        <v>ADEQUATE</v>
      </c>
    </row>
    <row r="586" spans="1:14" x14ac:dyDescent="0.25">
      <c r="A586" t="s">
        <v>735</v>
      </c>
      <c r="B586" t="s">
        <v>18</v>
      </c>
      <c r="C586" t="s">
        <v>19</v>
      </c>
      <c r="D586" t="s">
        <v>601</v>
      </c>
      <c r="E586" t="s">
        <v>171</v>
      </c>
      <c r="F586" s="9">
        <v>1682</v>
      </c>
      <c r="G586" s="9">
        <v>648</v>
      </c>
      <c r="H586" s="9">
        <v>1034</v>
      </c>
      <c r="I586" s="9">
        <v>498</v>
      </c>
      <c r="J586" s="11">
        <f t="shared" si="15"/>
        <v>2.0763052208835342</v>
      </c>
      <c r="K586">
        <v>4</v>
      </c>
      <c r="L586">
        <v>15</v>
      </c>
      <c r="M586">
        <v>1</v>
      </c>
      <c r="N586" t="str">
        <f t="shared" si="16"/>
        <v>ADEQUATE</v>
      </c>
    </row>
    <row r="587" spans="1:14" x14ac:dyDescent="0.25">
      <c r="A587" t="s">
        <v>921</v>
      </c>
      <c r="B587" t="s">
        <v>789</v>
      </c>
      <c r="C587" t="s">
        <v>19</v>
      </c>
      <c r="D587" t="s">
        <v>20</v>
      </c>
      <c r="E587" t="s">
        <v>122</v>
      </c>
      <c r="F587" s="9">
        <v>1325</v>
      </c>
      <c r="G587" s="9">
        <v>500</v>
      </c>
      <c r="H587" s="9">
        <v>825</v>
      </c>
      <c r="I587" s="9">
        <v>395</v>
      </c>
      <c r="J587" s="11">
        <f t="shared" si="15"/>
        <v>2.0886075949367089</v>
      </c>
      <c r="K587">
        <v>4</v>
      </c>
      <c r="L587">
        <v>11</v>
      </c>
      <c r="M587">
        <v>2</v>
      </c>
      <c r="N587" t="str">
        <f t="shared" si="16"/>
        <v>ADEQUATE</v>
      </c>
    </row>
    <row r="588" spans="1:14" x14ac:dyDescent="0.25">
      <c r="A588" t="s">
        <v>1400</v>
      </c>
      <c r="B588" t="s">
        <v>789</v>
      </c>
      <c r="C588" t="s">
        <v>19</v>
      </c>
      <c r="D588" t="s">
        <v>434</v>
      </c>
      <c r="E588" t="s">
        <v>171</v>
      </c>
      <c r="F588" s="9">
        <v>1629</v>
      </c>
      <c r="G588" s="9">
        <v>499</v>
      </c>
      <c r="H588" s="9">
        <v>1130</v>
      </c>
      <c r="I588" s="9">
        <v>455</v>
      </c>
      <c r="J588" s="11">
        <f t="shared" si="15"/>
        <v>2.4835164835164836</v>
      </c>
      <c r="K588">
        <v>5</v>
      </c>
      <c r="L588">
        <v>13</v>
      </c>
      <c r="M588">
        <v>2</v>
      </c>
      <c r="N588" t="str">
        <f t="shared" si="16"/>
        <v>ADEQUATE</v>
      </c>
    </row>
    <row r="589" spans="1:14" x14ac:dyDescent="0.25">
      <c r="A589" t="s">
        <v>170</v>
      </c>
      <c r="B589" t="s">
        <v>18</v>
      </c>
      <c r="C589" t="s">
        <v>19</v>
      </c>
      <c r="D589" t="s">
        <v>20</v>
      </c>
      <c r="E589" t="s">
        <v>171</v>
      </c>
      <c r="F589" s="9">
        <v>1616</v>
      </c>
      <c r="G589" s="9">
        <v>674</v>
      </c>
      <c r="H589" s="9">
        <v>942</v>
      </c>
      <c r="I589" s="9">
        <v>379</v>
      </c>
      <c r="J589" s="11">
        <f t="shared" si="15"/>
        <v>2.4854881266490767</v>
      </c>
      <c r="K589">
        <v>4</v>
      </c>
      <c r="L589">
        <v>14</v>
      </c>
      <c r="M589">
        <v>4</v>
      </c>
      <c r="N589" t="str">
        <f t="shared" si="16"/>
        <v>ADEQUATE</v>
      </c>
    </row>
    <row r="590" spans="1:14" x14ac:dyDescent="0.25">
      <c r="A590" t="s">
        <v>1253</v>
      </c>
      <c r="B590" t="s">
        <v>789</v>
      </c>
      <c r="C590" t="s">
        <v>19</v>
      </c>
      <c r="D590" t="s">
        <v>434</v>
      </c>
      <c r="E590" t="s">
        <v>21</v>
      </c>
      <c r="F590" s="9">
        <v>2433</v>
      </c>
      <c r="G590" s="9">
        <v>1020</v>
      </c>
      <c r="H590" s="9">
        <v>1413</v>
      </c>
      <c r="I590" s="9">
        <v>534</v>
      </c>
      <c r="J590" s="11">
        <f t="shared" si="15"/>
        <v>2.6460674157303372</v>
      </c>
      <c r="K590">
        <v>5</v>
      </c>
      <c r="L590">
        <v>20</v>
      </c>
      <c r="M590">
        <v>5</v>
      </c>
      <c r="N590" t="str">
        <f t="shared" si="16"/>
        <v>ADEQUATE</v>
      </c>
    </row>
    <row r="591" spans="1:14" x14ac:dyDescent="0.25">
      <c r="A591" t="s">
        <v>1103</v>
      </c>
      <c r="B591" t="s">
        <v>789</v>
      </c>
      <c r="C591" t="s">
        <v>19</v>
      </c>
      <c r="D591" t="s">
        <v>229</v>
      </c>
      <c r="E591" t="s">
        <v>122</v>
      </c>
      <c r="F591" s="9">
        <v>1763</v>
      </c>
      <c r="G591" s="9">
        <v>655</v>
      </c>
      <c r="H591" s="9">
        <v>1131</v>
      </c>
      <c r="I591" s="9">
        <v>404</v>
      </c>
      <c r="J591" s="11">
        <f t="shared" si="15"/>
        <v>2.7995049504950495</v>
      </c>
      <c r="K591">
        <v>4</v>
      </c>
      <c r="L591">
        <v>14</v>
      </c>
      <c r="M591">
        <v>5</v>
      </c>
      <c r="N591" t="str">
        <f t="shared" si="16"/>
        <v>ADEQUATE</v>
      </c>
    </row>
    <row r="592" spans="1:14" x14ac:dyDescent="0.25">
      <c r="A592" t="s">
        <v>370</v>
      </c>
      <c r="B592" t="s">
        <v>18</v>
      </c>
      <c r="C592" t="s">
        <v>19</v>
      </c>
      <c r="D592" t="s">
        <v>229</v>
      </c>
      <c r="E592" t="s">
        <v>171</v>
      </c>
      <c r="F592" s="9">
        <v>1996</v>
      </c>
      <c r="G592" s="9">
        <v>678</v>
      </c>
      <c r="H592" s="9">
        <v>1318</v>
      </c>
      <c r="I592" s="9">
        <v>418</v>
      </c>
      <c r="J592" s="11">
        <f t="shared" si="15"/>
        <v>3.1531100478468899</v>
      </c>
      <c r="K592">
        <v>4</v>
      </c>
      <c r="L592">
        <v>16</v>
      </c>
      <c r="M592">
        <v>7</v>
      </c>
      <c r="N592" t="str">
        <f t="shared" si="16"/>
        <v>ADEQUATE</v>
      </c>
    </row>
    <row r="593" spans="1:14" x14ac:dyDescent="0.25">
      <c r="A593" t="s">
        <v>675</v>
      </c>
      <c r="B593" t="s">
        <v>18</v>
      </c>
      <c r="C593" t="s">
        <v>19</v>
      </c>
      <c r="D593" t="s">
        <v>601</v>
      </c>
      <c r="E593" t="s">
        <v>122</v>
      </c>
      <c r="F593" s="9">
        <v>2065</v>
      </c>
      <c r="G593" s="9">
        <v>784</v>
      </c>
      <c r="H593" s="9">
        <v>1281</v>
      </c>
      <c r="I593" s="9">
        <v>385</v>
      </c>
      <c r="J593" s="11">
        <f t="shared" si="15"/>
        <v>3.3272727272727272</v>
      </c>
      <c r="K593">
        <v>4</v>
      </c>
      <c r="L593">
        <v>17</v>
      </c>
      <c r="M593">
        <v>6</v>
      </c>
      <c r="N593" t="str">
        <f t="shared" si="16"/>
        <v>ADEQUATE</v>
      </c>
    </row>
    <row r="594" spans="1:14" x14ac:dyDescent="0.25">
      <c r="A594" t="s">
        <v>855</v>
      </c>
      <c r="B594" t="s">
        <v>789</v>
      </c>
      <c r="C594" t="s">
        <v>19</v>
      </c>
      <c r="D594" t="s">
        <v>20</v>
      </c>
      <c r="E594" t="s">
        <v>21</v>
      </c>
      <c r="F594" s="9">
        <v>6146</v>
      </c>
      <c r="G594" s="9">
        <v>771</v>
      </c>
      <c r="H594" s="9">
        <v>5375</v>
      </c>
      <c r="I594" s="9">
        <v>550</v>
      </c>
      <c r="J594" s="11">
        <f t="shared" si="15"/>
        <v>9.7727272727272734</v>
      </c>
      <c r="K594">
        <v>5</v>
      </c>
      <c r="L594">
        <v>18</v>
      </c>
      <c r="M594">
        <v>5</v>
      </c>
      <c r="N594" t="str">
        <f t="shared" si="16"/>
        <v>OVERSTOCKED</v>
      </c>
    </row>
    <row r="595" spans="1:14" x14ac:dyDescent="0.25">
      <c r="A595" t="s">
        <v>2136</v>
      </c>
      <c r="B595" t="s">
        <v>1612</v>
      </c>
      <c r="C595" t="s">
        <v>19</v>
      </c>
      <c r="D595" t="s">
        <v>601</v>
      </c>
      <c r="E595" t="s">
        <v>171</v>
      </c>
      <c r="F595" s="9">
        <v>8046</v>
      </c>
      <c r="G595" s="9">
        <v>564</v>
      </c>
      <c r="H595" s="9">
        <v>7482</v>
      </c>
      <c r="I595" s="9">
        <v>695</v>
      </c>
      <c r="J595" s="11">
        <f t="shared" si="15"/>
        <v>10.76546762589928</v>
      </c>
      <c r="K595">
        <v>5</v>
      </c>
      <c r="L595">
        <v>11</v>
      </c>
      <c r="M595">
        <v>2</v>
      </c>
      <c r="N595" t="str">
        <f t="shared" si="16"/>
        <v>OVERSTOCKED</v>
      </c>
    </row>
    <row r="596" spans="1:14" x14ac:dyDescent="0.25">
      <c r="A596" t="s">
        <v>1058</v>
      </c>
      <c r="B596" t="s">
        <v>789</v>
      </c>
      <c r="C596" t="s">
        <v>19</v>
      </c>
      <c r="D596" t="s">
        <v>229</v>
      </c>
      <c r="E596" t="s">
        <v>21</v>
      </c>
      <c r="F596" s="9">
        <v>5454</v>
      </c>
      <c r="G596" s="9">
        <v>598</v>
      </c>
      <c r="H596" s="9">
        <v>4856</v>
      </c>
      <c r="I596" s="9">
        <v>391</v>
      </c>
      <c r="J596" s="11">
        <f t="shared" si="15"/>
        <v>12.419437340153452</v>
      </c>
      <c r="K596">
        <v>5</v>
      </c>
      <c r="L596">
        <v>13</v>
      </c>
      <c r="M596">
        <v>2</v>
      </c>
      <c r="N596" t="str">
        <f t="shared" si="16"/>
        <v>OVERSTOCKED</v>
      </c>
    </row>
    <row r="597" spans="1:14" x14ac:dyDescent="0.25">
      <c r="A597" t="s">
        <v>1465</v>
      </c>
      <c r="B597" t="s">
        <v>789</v>
      </c>
      <c r="C597" t="s">
        <v>19</v>
      </c>
      <c r="D597" t="s">
        <v>601</v>
      </c>
      <c r="E597" t="s">
        <v>21</v>
      </c>
      <c r="F597" s="9">
        <v>5359</v>
      </c>
      <c r="G597" s="9">
        <v>493</v>
      </c>
      <c r="H597" s="9">
        <v>4866</v>
      </c>
      <c r="I597" s="9">
        <v>386</v>
      </c>
      <c r="J597" s="11">
        <f t="shared" si="15"/>
        <v>12.606217616580311</v>
      </c>
      <c r="K597">
        <v>5</v>
      </c>
      <c r="L597">
        <v>11</v>
      </c>
      <c r="M597">
        <v>2</v>
      </c>
      <c r="N597" t="str">
        <f t="shared" si="16"/>
        <v>OVERSTOCKED</v>
      </c>
    </row>
    <row r="598" spans="1:14" x14ac:dyDescent="0.25">
      <c r="A598" t="s">
        <v>2550</v>
      </c>
      <c r="B598" t="s">
        <v>2170</v>
      </c>
      <c r="C598" t="s">
        <v>2171</v>
      </c>
      <c r="D598" t="s">
        <v>2460</v>
      </c>
      <c r="E598" t="s">
        <v>171</v>
      </c>
      <c r="F598" s="9">
        <v>6907</v>
      </c>
      <c r="G598" s="9">
        <v>630</v>
      </c>
      <c r="H598" s="9">
        <v>6277</v>
      </c>
      <c r="I598" s="9">
        <v>486</v>
      </c>
      <c r="J598" s="11">
        <f t="shared" si="15"/>
        <v>12.915637860082304</v>
      </c>
      <c r="K598">
        <v>4</v>
      </c>
      <c r="L598">
        <v>13</v>
      </c>
      <c r="M598">
        <v>4</v>
      </c>
      <c r="N598" t="str">
        <f t="shared" si="16"/>
        <v>OVERSTOCKED</v>
      </c>
    </row>
    <row r="599" spans="1:14" x14ac:dyDescent="0.25">
      <c r="A599" t="s">
        <v>17</v>
      </c>
      <c r="B599" t="s">
        <v>18</v>
      </c>
      <c r="C599" t="s">
        <v>19</v>
      </c>
      <c r="D599" t="s">
        <v>20</v>
      </c>
      <c r="E599" t="s">
        <v>21</v>
      </c>
      <c r="F599" s="9">
        <v>9287</v>
      </c>
      <c r="G599" s="9">
        <v>1060</v>
      </c>
      <c r="H599" s="9">
        <v>8256</v>
      </c>
      <c r="I599" s="9">
        <v>621</v>
      </c>
      <c r="J599" s="11">
        <f t="shared" si="15"/>
        <v>13.294685990338165</v>
      </c>
      <c r="K599">
        <v>5</v>
      </c>
      <c r="L599">
        <v>22</v>
      </c>
      <c r="M599">
        <v>7</v>
      </c>
      <c r="N599" t="str">
        <f t="shared" si="16"/>
        <v>OVERSTOCKED</v>
      </c>
    </row>
    <row r="600" spans="1:14" x14ac:dyDescent="0.25">
      <c r="A600" t="s">
        <v>433</v>
      </c>
      <c r="B600" t="s">
        <v>18</v>
      </c>
      <c r="C600" t="s">
        <v>19</v>
      </c>
      <c r="D600" t="s">
        <v>434</v>
      </c>
      <c r="E600" t="s">
        <v>21</v>
      </c>
      <c r="F600" s="9">
        <v>7558</v>
      </c>
      <c r="G600" s="9">
        <v>584</v>
      </c>
      <c r="H600" s="9">
        <v>6974</v>
      </c>
      <c r="I600" s="9">
        <v>461</v>
      </c>
      <c r="J600" s="11">
        <f t="shared" si="15"/>
        <v>15.127982646420824</v>
      </c>
      <c r="K600">
        <v>5</v>
      </c>
      <c r="L600">
        <v>15</v>
      </c>
      <c r="M600">
        <v>1</v>
      </c>
      <c r="N600" t="str">
        <f t="shared" si="16"/>
        <v>OVERSTOCKED</v>
      </c>
    </row>
    <row r="601" spans="1:14" x14ac:dyDescent="0.25">
      <c r="A601" t="s">
        <v>2109</v>
      </c>
      <c r="B601" t="s">
        <v>1612</v>
      </c>
      <c r="C601" t="s">
        <v>19</v>
      </c>
      <c r="D601" t="s">
        <v>601</v>
      </c>
      <c r="E601" t="s">
        <v>122</v>
      </c>
      <c r="F601" s="9">
        <v>5561</v>
      </c>
      <c r="G601" s="9">
        <v>511</v>
      </c>
      <c r="H601" s="9">
        <v>5050</v>
      </c>
      <c r="I601" s="9">
        <v>325</v>
      </c>
      <c r="J601" s="11">
        <f t="shared" si="15"/>
        <v>15.538461538461538</v>
      </c>
      <c r="K601">
        <v>3</v>
      </c>
      <c r="L601">
        <v>9</v>
      </c>
      <c r="M601">
        <v>2</v>
      </c>
      <c r="N601" t="str">
        <f t="shared" si="16"/>
        <v>OVERSTOCKED</v>
      </c>
    </row>
    <row r="602" spans="1:14" x14ac:dyDescent="0.25">
      <c r="A602" t="s">
        <v>2588</v>
      </c>
      <c r="B602" t="s">
        <v>2170</v>
      </c>
      <c r="C602" t="s">
        <v>2171</v>
      </c>
      <c r="D602" t="s">
        <v>2589</v>
      </c>
      <c r="E602" t="s">
        <v>21</v>
      </c>
      <c r="F602" s="9">
        <v>6683</v>
      </c>
      <c r="G602" s="9">
        <v>738</v>
      </c>
      <c r="H602" s="9">
        <v>5945</v>
      </c>
      <c r="I602" s="9">
        <v>376</v>
      </c>
      <c r="J602" s="11">
        <f t="shared" si="15"/>
        <v>15.811170212765957</v>
      </c>
      <c r="K602">
        <v>5</v>
      </c>
      <c r="L602">
        <v>13</v>
      </c>
      <c r="M602">
        <v>4</v>
      </c>
      <c r="N602" t="str">
        <f t="shared" si="16"/>
        <v>OVERSTOCKED</v>
      </c>
    </row>
    <row r="603" spans="1:14" x14ac:dyDescent="0.25">
      <c r="A603" t="s">
        <v>1884</v>
      </c>
      <c r="B603" t="s">
        <v>1612</v>
      </c>
      <c r="C603" t="s">
        <v>19</v>
      </c>
      <c r="D603" t="s">
        <v>229</v>
      </c>
      <c r="E603" t="s">
        <v>171</v>
      </c>
      <c r="F603" s="9">
        <v>11652</v>
      </c>
      <c r="G603" s="9">
        <v>812</v>
      </c>
      <c r="H603" s="9">
        <v>10840</v>
      </c>
      <c r="I603" s="9">
        <v>679</v>
      </c>
      <c r="J603" s="11">
        <f t="shared" si="15"/>
        <v>15.964653902798233</v>
      </c>
      <c r="K603">
        <v>5</v>
      </c>
      <c r="L603">
        <v>18</v>
      </c>
      <c r="M603">
        <v>2</v>
      </c>
      <c r="N603" t="str">
        <f t="shared" si="16"/>
        <v>OVERSTOCKED</v>
      </c>
    </row>
    <row r="604" spans="1:14" x14ac:dyDescent="0.25">
      <c r="A604" t="s">
        <v>2661</v>
      </c>
      <c r="B604" t="s">
        <v>2170</v>
      </c>
      <c r="C604" t="s">
        <v>2171</v>
      </c>
      <c r="D604" t="s">
        <v>2589</v>
      </c>
      <c r="E604" t="s">
        <v>171</v>
      </c>
      <c r="F604" s="9">
        <v>10752</v>
      </c>
      <c r="G604" s="9">
        <v>657</v>
      </c>
      <c r="H604" s="9">
        <v>10095</v>
      </c>
      <c r="I604" s="9">
        <v>628</v>
      </c>
      <c r="J604" s="11">
        <f t="shared" si="15"/>
        <v>16.07484076433121</v>
      </c>
      <c r="K604">
        <v>4</v>
      </c>
      <c r="L604">
        <v>16</v>
      </c>
      <c r="M604">
        <v>5</v>
      </c>
      <c r="N604" t="str">
        <f t="shared" si="16"/>
        <v>OVERSTOCKED</v>
      </c>
    </row>
    <row r="605" spans="1:14" x14ac:dyDescent="0.25">
      <c r="A605" t="s">
        <v>1944</v>
      </c>
      <c r="B605" t="s">
        <v>1612</v>
      </c>
      <c r="C605" t="s">
        <v>19</v>
      </c>
      <c r="D605" t="s">
        <v>434</v>
      </c>
      <c r="E605" t="s">
        <v>21</v>
      </c>
      <c r="F605" s="9">
        <v>9881</v>
      </c>
      <c r="G605" s="9">
        <v>715</v>
      </c>
      <c r="H605" s="9">
        <v>9166</v>
      </c>
      <c r="I605" s="9">
        <v>563</v>
      </c>
      <c r="J605" s="11">
        <f t="shared" si="15"/>
        <v>16.28063943161634</v>
      </c>
      <c r="K605">
        <v>5</v>
      </c>
      <c r="L605">
        <v>14</v>
      </c>
      <c r="M605">
        <v>2</v>
      </c>
      <c r="N605" t="str">
        <f t="shared" si="16"/>
        <v>OVERSTOCKED</v>
      </c>
    </row>
    <row r="606" spans="1:14" x14ac:dyDescent="0.25">
      <c r="A606" t="s">
        <v>2510</v>
      </c>
      <c r="B606" t="s">
        <v>2170</v>
      </c>
      <c r="C606" t="s">
        <v>2171</v>
      </c>
      <c r="D606" t="s">
        <v>2460</v>
      </c>
      <c r="E606" t="s">
        <v>122</v>
      </c>
      <c r="F606" s="9">
        <v>7476</v>
      </c>
      <c r="G606" s="9">
        <v>791</v>
      </c>
      <c r="H606" s="9">
        <v>6685</v>
      </c>
      <c r="I606" s="9">
        <v>399</v>
      </c>
      <c r="J606" s="11">
        <f t="shared" si="15"/>
        <v>16.754385964912281</v>
      </c>
      <c r="K606">
        <v>3</v>
      </c>
      <c r="L606">
        <v>14</v>
      </c>
      <c r="M606">
        <v>3</v>
      </c>
      <c r="N606" t="str">
        <f t="shared" si="16"/>
        <v>OVERSTOCKED</v>
      </c>
    </row>
    <row r="607" spans="1:14" x14ac:dyDescent="0.25">
      <c r="A607" t="s">
        <v>2025</v>
      </c>
      <c r="B607" t="s">
        <v>1612</v>
      </c>
      <c r="C607" t="s">
        <v>19</v>
      </c>
      <c r="D607" t="s">
        <v>434</v>
      </c>
      <c r="E607" t="s">
        <v>171</v>
      </c>
      <c r="F607" s="9">
        <v>9125</v>
      </c>
      <c r="G607" s="9">
        <v>800</v>
      </c>
      <c r="H607" s="9">
        <v>8325</v>
      </c>
      <c r="I607" s="9">
        <v>485</v>
      </c>
      <c r="J607" s="11">
        <f t="shared" si="15"/>
        <v>17.164948453608247</v>
      </c>
      <c r="K607">
        <v>5</v>
      </c>
      <c r="L607">
        <v>16</v>
      </c>
      <c r="M607">
        <v>4</v>
      </c>
      <c r="N607" t="str">
        <f t="shared" si="16"/>
        <v>OVERSTOCKED</v>
      </c>
    </row>
    <row r="608" spans="1:14" x14ac:dyDescent="0.25">
      <c r="A608" t="s">
        <v>1990</v>
      </c>
      <c r="B608" t="s">
        <v>1612</v>
      </c>
      <c r="C608" t="s">
        <v>19</v>
      </c>
      <c r="D608" t="s">
        <v>434</v>
      </c>
      <c r="E608" t="s">
        <v>122</v>
      </c>
      <c r="F608" s="9">
        <v>7290</v>
      </c>
      <c r="G608" s="9">
        <v>602</v>
      </c>
      <c r="H608" s="9">
        <v>6688</v>
      </c>
      <c r="I608" s="9">
        <v>389</v>
      </c>
      <c r="J608" s="11">
        <f t="shared" si="15"/>
        <v>17.192802056555269</v>
      </c>
      <c r="K608">
        <v>3</v>
      </c>
      <c r="L608">
        <v>12</v>
      </c>
      <c r="M608">
        <v>1</v>
      </c>
      <c r="N608" t="str">
        <f t="shared" si="16"/>
        <v>OVERSTOCKED</v>
      </c>
    </row>
    <row r="609" spans="1:14" x14ac:dyDescent="0.25">
      <c r="A609" t="s">
        <v>600</v>
      </c>
      <c r="B609" t="s">
        <v>18</v>
      </c>
      <c r="C609" t="s">
        <v>19</v>
      </c>
      <c r="D609" t="s">
        <v>601</v>
      </c>
      <c r="E609" t="s">
        <v>21</v>
      </c>
      <c r="F609" s="9">
        <v>7567</v>
      </c>
      <c r="G609" s="9">
        <v>731</v>
      </c>
      <c r="H609" s="9">
        <v>6836</v>
      </c>
      <c r="I609" s="9">
        <v>381</v>
      </c>
      <c r="J609" s="11">
        <f t="shared" si="15"/>
        <v>17.942257217847768</v>
      </c>
      <c r="K609">
        <v>5</v>
      </c>
      <c r="L609">
        <v>19</v>
      </c>
      <c r="M609">
        <v>5</v>
      </c>
      <c r="N609" t="str">
        <f t="shared" si="16"/>
        <v>OVERSTOCKED</v>
      </c>
    </row>
    <row r="610" spans="1:14" x14ac:dyDescent="0.25">
      <c r="A610" t="s">
        <v>2069</v>
      </c>
      <c r="B610" t="s">
        <v>1612</v>
      </c>
      <c r="C610" t="s">
        <v>19</v>
      </c>
      <c r="D610" t="s">
        <v>601</v>
      </c>
      <c r="E610" t="s">
        <v>21</v>
      </c>
      <c r="F610" s="9">
        <v>9853</v>
      </c>
      <c r="G610" s="9">
        <v>760</v>
      </c>
      <c r="H610" s="9">
        <v>9093</v>
      </c>
      <c r="I610" s="9">
        <v>485</v>
      </c>
      <c r="J610" s="11">
        <f t="shared" si="15"/>
        <v>18.748453608247424</v>
      </c>
      <c r="K610">
        <v>5</v>
      </c>
      <c r="L610">
        <v>14</v>
      </c>
      <c r="M610">
        <v>3</v>
      </c>
      <c r="N610" t="str">
        <f t="shared" si="16"/>
        <v>OVERSTOCKED</v>
      </c>
    </row>
    <row r="611" spans="1:14" x14ac:dyDescent="0.25">
      <c r="A611" t="s">
        <v>228</v>
      </c>
      <c r="B611" t="s">
        <v>18</v>
      </c>
      <c r="C611" t="s">
        <v>19</v>
      </c>
      <c r="D611" t="s">
        <v>229</v>
      </c>
      <c r="E611" t="s">
        <v>21</v>
      </c>
      <c r="F611" s="9">
        <v>8288</v>
      </c>
      <c r="G611" s="9">
        <v>798</v>
      </c>
      <c r="H611" s="9">
        <v>7506</v>
      </c>
      <c r="I611" s="9">
        <v>395</v>
      </c>
      <c r="J611" s="11">
        <f t="shared" si="15"/>
        <v>19.002531645569618</v>
      </c>
      <c r="K611">
        <v>5</v>
      </c>
      <c r="L611">
        <v>19</v>
      </c>
      <c r="M611">
        <v>2</v>
      </c>
      <c r="N611" t="str">
        <f t="shared" si="16"/>
        <v>OVERSTOCKED</v>
      </c>
    </row>
    <row r="612" spans="1:14" x14ac:dyDescent="0.25">
      <c r="A612" t="s">
        <v>2628</v>
      </c>
      <c r="B612" t="s">
        <v>2170</v>
      </c>
      <c r="C612" t="s">
        <v>2171</v>
      </c>
      <c r="D612" t="s">
        <v>2589</v>
      </c>
      <c r="E612" t="s">
        <v>122</v>
      </c>
      <c r="F612" s="9">
        <v>8313</v>
      </c>
      <c r="G612" s="9">
        <v>630</v>
      </c>
      <c r="H612" s="9">
        <v>7683</v>
      </c>
      <c r="I612" s="9">
        <v>396</v>
      </c>
      <c r="J612" s="11">
        <f t="shared" si="15"/>
        <v>19.401515151515152</v>
      </c>
      <c r="K612">
        <v>3</v>
      </c>
      <c r="L612">
        <v>12</v>
      </c>
      <c r="M612">
        <v>2</v>
      </c>
      <c r="N612" t="str">
        <f t="shared" si="16"/>
        <v>OVERSTOCKED</v>
      </c>
    </row>
    <row r="613" spans="1:14" x14ac:dyDescent="0.25">
      <c r="A613" t="s">
        <v>1671</v>
      </c>
      <c r="B613" t="s">
        <v>1612</v>
      </c>
      <c r="C613" t="s">
        <v>19</v>
      </c>
      <c r="D613" t="s">
        <v>20</v>
      </c>
      <c r="E613" t="s">
        <v>122</v>
      </c>
      <c r="F613" s="9">
        <v>7882</v>
      </c>
      <c r="G613" s="9">
        <v>880</v>
      </c>
      <c r="H613" s="9">
        <v>7002</v>
      </c>
      <c r="I613" s="9">
        <v>360</v>
      </c>
      <c r="J613" s="11">
        <f t="shared" si="15"/>
        <v>19.45</v>
      </c>
      <c r="K613">
        <v>3</v>
      </c>
      <c r="L613">
        <v>13</v>
      </c>
      <c r="M613">
        <v>2</v>
      </c>
      <c r="N613" t="str">
        <f t="shared" si="16"/>
        <v>OVERSTOCKED</v>
      </c>
    </row>
    <row r="614" spans="1:14" x14ac:dyDescent="0.25">
      <c r="A614" t="s">
        <v>1710</v>
      </c>
      <c r="B614" t="s">
        <v>1612</v>
      </c>
      <c r="C614" t="s">
        <v>19</v>
      </c>
      <c r="D614" t="s">
        <v>20</v>
      </c>
      <c r="E614" t="s">
        <v>171</v>
      </c>
      <c r="F614" s="9">
        <v>12213</v>
      </c>
      <c r="G614" s="9">
        <v>702</v>
      </c>
      <c r="H614" s="9">
        <v>11511</v>
      </c>
      <c r="I614" s="9">
        <v>571</v>
      </c>
      <c r="J614" s="11">
        <f t="shared" si="15"/>
        <v>20.159369527145358</v>
      </c>
      <c r="K614">
        <v>5</v>
      </c>
      <c r="L614">
        <v>18</v>
      </c>
      <c r="M614">
        <v>3</v>
      </c>
      <c r="N614" t="str">
        <f t="shared" si="16"/>
        <v>OVERSTOCKED</v>
      </c>
    </row>
    <row r="615" spans="1:14" x14ac:dyDescent="0.25">
      <c r="A615" t="s">
        <v>2260</v>
      </c>
      <c r="B615" t="s">
        <v>2170</v>
      </c>
      <c r="C615" t="s">
        <v>2171</v>
      </c>
      <c r="D615" t="s">
        <v>2172</v>
      </c>
      <c r="E615" t="s">
        <v>171</v>
      </c>
      <c r="F615" s="9">
        <v>10722</v>
      </c>
      <c r="G615" s="9">
        <v>933</v>
      </c>
      <c r="H615" s="9">
        <v>9789</v>
      </c>
      <c r="I615" s="9">
        <v>479</v>
      </c>
      <c r="J615" s="11">
        <f t="shared" si="15"/>
        <v>20.436325678496868</v>
      </c>
      <c r="K615">
        <v>4</v>
      </c>
      <c r="L615">
        <v>17</v>
      </c>
      <c r="M615">
        <v>4</v>
      </c>
      <c r="N615" t="str">
        <f t="shared" si="16"/>
        <v>OVERSTOCKED</v>
      </c>
    </row>
    <row r="616" spans="1:14" x14ac:dyDescent="0.25">
      <c r="A616" t="s">
        <v>2310</v>
      </c>
      <c r="B616" t="s">
        <v>2170</v>
      </c>
      <c r="C616" t="s">
        <v>2171</v>
      </c>
      <c r="D616" t="s">
        <v>2311</v>
      </c>
      <c r="E616" t="s">
        <v>21</v>
      </c>
      <c r="F616" s="9">
        <v>11119</v>
      </c>
      <c r="G616" s="9">
        <v>751</v>
      </c>
      <c r="H616" s="9">
        <v>10368</v>
      </c>
      <c r="I616" s="9">
        <v>487</v>
      </c>
      <c r="J616" s="11">
        <f t="shared" si="15"/>
        <v>21.289527720739219</v>
      </c>
      <c r="K616">
        <v>5</v>
      </c>
      <c r="L616">
        <v>19</v>
      </c>
      <c r="M616">
        <v>5</v>
      </c>
      <c r="N616" t="str">
        <f t="shared" si="16"/>
        <v>OVERSTOCKED</v>
      </c>
    </row>
    <row r="617" spans="1:14" x14ac:dyDescent="0.25">
      <c r="A617" t="s">
        <v>2169</v>
      </c>
      <c r="B617" t="s">
        <v>2170</v>
      </c>
      <c r="C617" t="s">
        <v>2171</v>
      </c>
      <c r="D617" t="s">
        <v>2172</v>
      </c>
      <c r="E617" t="s">
        <v>21</v>
      </c>
      <c r="F617" s="9">
        <v>9865</v>
      </c>
      <c r="G617" s="9">
        <v>526</v>
      </c>
      <c r="H617" s="9">
        <v>9339</v>
      </c>
      <c r="I617" s="9">
        <v>435</v>
      </c>
      <c r="J617" s="11">
        <f t="shared" si="15"/>
        <v>21.468965517241379</v>
      </c>
      <c r="K617">
        <v>5</v>
      </c>
      <c r="L617">
        <v>16</v>
      </c>
      <c r="M617">
        <v>5</v>
      </c>
      <c r="N617" t="str">
        <f t="shared" si="16"/>
        <v>OVERSTOCKED</v>
      </c>
    </row>
    <row r="618" spans="1:14" x14ac:dyDescent="0.25">
      <c r="A618" t="s">
        <v>2416</v>
      </c>
      <c r="B618" t="s">
        <v>2170</v>
      </c>
      <c r="C618" t="s">
        <v>2171</v>
      </c>
      <c r="D618" t="s">
        <v>2311</v>
      </c>
      <c r="E618" t="s">
        <v>171</v>
      </c>
      <c r="F618" s="9">
        <v>9019</v>
      </c>
      <c r="G618" s="9">
        <v>785</v>
      </c>
      <c r="H618" s="9">
        <v>8234</v>
      </c>
      <c r="I618" s="9">
        <v>379</v>
      </c>
      <c r="J618" s="11">
        <f t="shared" si="15"/>
        <v>21.725593667546175</v>
      </c>
      <c r="K618">
        <v>4</v>
      </c>
      <c r="L618">
        <v>15</v>
      </c>
      <c r="M618">
        <v>5</v>
      </c>
      <c r="N618" t="str">
        <f t="shared" si="16"/>
        <v>OVERSTOCKED</v>
      </c>
    </row>
    <row r="619" spans="1:14" x14ac:dyDescent="0.25">
      <c r="A619" t="s">
        <v>1834</v>
      </c>
      <c r="B619" t="s">
        <v>1612</v>
      </c>
      <c r="C619" t="s">
        <v>19</v>
      </c>
      <c r="D619" t="s">
        <v>229</v>
      </c>
      <c r="E619" t="s">
        <v>122</v>
      </c>
      <c r="F619" s="9">
        <v>9203</v>
      </c>
      <c r="G619" s="9">
        <v>752</v>
      </c>
      <c r="H619" s="9">
        <v>8451</v>
      </c>
      <c r="I619" s="9">
        <v>378</v>
      </c>
      <c r="J619" s="11">
        <f t="shared" si="15"/>
        <v>22.357142857142858</v>
      </c>
      <c r="K619">
        <v>3</v>
      </c>
      <c r="L619">
        <v>15</v>
      </c>
      <c r="M619">
        <v>3</v>
      </c>
      <c r="N619" t="str">
        <f t="shared" si="16"/>
        <v>OVERSTOCKED</v>
      </c>
    </row>
    <row r="620" spans="1:14" x14ac:dyDescent="0.25">
      <c r="A620" t="s">
        <v>2220</v>
      </c>
      <c r="B620" t="s">
        <v>2170</v>
      </c>
      <c r="C620" t="s">
        <v>2171</v>
      </c>
      <c r="D620" t="s">
        <v>2172</v>
      </c>
      <c r="E620" t="s">
        <v>122</v>
      </c>
      <c r="F620" s="9">
        <v>8809</v>
      </c>
      <c r="G620" s="9">
        <v>591</v>
      </c>
      <c r="H620" s="9">
        <v>8218</v>
      </c>
      <c r="I620" s="9">
        <v>347</v>
      </c>
      <c r="J620" s="11">
        <f t="shared" si="15"/>
        <v>23.682997118155619</v>
      </c>
      <c r="K620">
        <v>3</v>
      </c>
      <c r="L620">
        <v>14</v>
      </c>
      <c r="M620">
        <v>2</v>
      </c>
      <c r="N620" t="str">
        <f t="shared" si="16"/>
        <v>OVERSTOCKED</v>
      </c>
    </row>
    <row r="621" spans="1:14" x14ac:dyDescent="0.25">
      <c r="A621" t="s">
        <v>2459</v>
      </c>
      <c r="B621" t="s">
        <v>2170</v>
      </c>
      <c r="C621" t="s">
        <v>2171</v>
      </c>
      <c r="D621" t="s">
        <v>2460</v>
      </c>
      <c r="E621" t="s">
        <v>21</v>
      </c>
      <c r="F621" s="9">
        <v>10764</v>
      </c>
      <c r="G621" s="9">
        <v>1034</v>
      </c>
      <c r="H621" s="9">
        <v>9730</v>
      </c>
      <c r="I621" s="9">
        <v>396</v>
      </c>
      <c r="J621" s="11">
        <f t="shared" si="15"/>
        <v>24.570707070707069</v>
      </c>
      <c r="K621">
        <v>5</v>
      </c>
      <c r="L621">
        <v>19</v>
      </c>
      <c r="M621">
        <v>5</v>
      </c>
      <c r="N621" t="str">
        <f t="shared" si="16"/>
        <v>OVERSTOCKED</v>
      </c>
    </row>
    <row r="622" spans="1:14" x14ac:dyDescent="0.25">
      <c r="A622" t="s">
        <v>1611</v>
      </c>
      <c r="B622" t="s">
        <v>1612</v>
      </c>
      <c r="C622" t="s">
        <v>19</v>
      </c>
      <c r="D622" t="s">
        <v>20</v>
      </c>
      <c r="E622" t="s">
        <v>21</v>
      </c>
      <c r="F622" s="9">
        <v>11922</v>
      </c>
      <c r="G622" s="9">
        <v>892</v>
      </c>
      <c r="H622" s="9">
        <v>11030</v>
      </c>
      <c r="I622" s="9">
        <v>432</v>
      </c>
      <c r="J622" s="11">
        <f t="shared" ref="J622:J624" si="17">IF(I622=0,"N/A",H622/I622)</f>
        <v>25.532407407407408</v>
      </c>
      <c r="K622">
        <v>5</v>
      </c>
      <c r="L622">
        <v>18</v>
      </c>
      <c r="M622">
        <v>2</v>
      </c>
      <c r="N622" t="str">
        <f t="shared" ref="N622:N624" si="18">IF(ISNUMBER(J622),IF(J622&lt;1,"UNDER-STOCKED",IF(J622&lt;5,"ADEQUATE","OVERSTOCKED")),"N/A")</f>
        <v>OVERSTOCKED</v>
      </c>
    </row>
    <row r="623" spans="1:14" x14ac:dyDescent="0.25">
      <c r="A623" t="s">
        <v>2368</v>
      </c>
      <c r="B623" t="s">
        <v>2170</v>
      </c>
      <c r="C623" t="s">
        <v>2171</v>
      </c>
      <c r="D623" t="s">
        <v>2311</v>
      </c>
      <c r="E623" t="s">
        <v>122</v>
      </c>
      <c r="F623" s="9">
        <v>10612</v>
      </c>
      <c r="G623" s="9">
        <v>828</v>
      </c>
      <c r="H623" s="9">
        <v>9784</v>
      </c>
      <c r="I623" s="9">
        <v>380</v>
      </c>
      <c r="J623" s="11">
        <f t="shared" si="17"/>
        <v>25.747368421052631</v>
      </c>
      <c r="K623">
        <v>3</v>
      </c>
      <c r="L623">
        <v>17</v>
      </c>
      <c r="M623">
        <v>3</v>
      </c>
      <c r="N623" t="str">
        <f t="shared" si="18"/>
        <v>OVERSTOCKED</v>
      </c>
    </row>
    <row r="624" spans="1:14" x14ac:dyDescent="0.25">
      <c r="A624" t="s">
        <v>1771</v>
      </c>
      <c r="B624" t="s">
        <v>1612</v>
      </c>
      <c r="C624" t="s">
        <v>19</v>
      </c>
      <c r="D624" t="s">
        <v>229</v>
      </c>
      <c r="E624" t="s">
        <v>21</v>
      </c>
      <c r="F624" s="9">
        <v>14642</v>
      </c>
      <c r="G624" s="9">
        <v>1014</v>
      </c>
      <c r="H624" s="9">
        <v>13628</v>
      </c>
      <c r="I624" s="9">
        <v>465</v>
      </c>
      <c r="J624" s="11">
        <f t="shared" si="17"/>
        <v>29.307526881720431</v>
      </c>
      <c r="K624">
        <v>5</v>
      </c>
      <c r="L624">
        <v>19</v>
      </c>
      <c r="M624">
        <v>4</v>
      </c>
      <c r="N624" t="str">
        <f t="shared" si="18"/>
        <v>OVERSTOCKED</v>
      </c>
    </row>
  </sheetData>
  <mergeCells count="6">
    <mergeCell ref="A555:N555"/>
    <mergeCell ref="A1:H1"/>
    <mergeCell ref="A10:H10"/>
    <mergeCell ref="A18:H18"/>
    <mergeCell ref="A30:L30"/>
    <mergeCell ref="A489:K489"/>
  </mergeCells>
  <conditionalFormatting sqref="J491:J546">
    <cfRule type="containsText" dxfId="7" priority="4" operator="containsText" text="HIGH">
      <formula>NOT(ISERROR(SEARCH("HIGH",J491)))</formula>
    </cfRule>
    <cfRule type="containsText" dxfId="6" priority="5" operator="containsText" text="MEDIUM">
      <formula>NOT(ISERROR(SEARCH("MEDIUM",J491)))</formula>
    </cfRule>
  </conditionalFormatting>
  <conditionalFormatting sqref="J557:J624">
    <cfRule type="colorScale" priority="9">
      <colorScale>
        <cfvo type="min"/>
        <cfvo type="max"/>
        <color rgb="FFFF7128"/>
        <color rgb="FFFFEF9C"/>
      </colorScale>
    </cfRule>
    <cfRule type="dataBar" priority="10">
      <dataBar>
        <cfvo type="min"/>
        <cfvo type="max"/>
        <color rgb="FF2E75B6"/>
      </dataBar>
      <extLst>
        <ext xmlns:x14="http://schemas.microsoft.com/office/spreadsheetml/2009/9/main" uri="{B025F937-C7B1-47D3-B67F-A62EFF666E3E}">
          <x14:id>{A9434448-A459-404D-ACCD-A30DDE7FECC3}</x14:id>
        </ext>
      </extLst>
    </cfRule>
  </conditionalFormatting>
  <conditionalFormatting sqref="K32:K486">
    <cfRule type="containsText" dxfId="5" priority="1" operator="containsText" text="CRITICAL">
      <formula>NOT(ISERROR(SEARCH("CRITICAL",K32)))</formula>
    </cfRule>
    <cfRule type="containsText" dxfId="4" priority="2" operator="containsText" text="HIGH">
      <formula>NOT(ISERROR(SEARCH("HIGH",K32)))</formula>
    </cfRule>
    <cfRule type="containsText" dxfId="3" priority="3" operator="containsText" text="MEDIUM">
      <formula>NOT(ISERROR(SEARCH("MEDIUM",K32)))</formula>
    </cfRule>
  </conditionalFormatting>
  <conditionalFormatting sqref="N557:N624">
    <cfRule type="containsText" dxfId="2" priority="6" operator="containsText" text="UNDER-STOCKED">
      <formula>NOT(ISERROR(SEARCH("UNDER-STOCKED",N557)))</formula>
    </cfRule>
    <cfRule type="containsText" dxfId="1" priority="7" operator="containsText" text="ADEQUATE">
      <formula>NOT(ISERROR(SEARCH("ADEQUATE",N557)))</formula>
    </cfRule>
    <cfRule type="containsText" dxfId="0" priority="8" operator="containsText" text="OVERSTOCKED">
      <formula>NOT(ISERROR(SEARCH("OVERSTOCKED",N557)))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9434448-A459-404D-ACCD-A30DDE7FECC3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J557:J624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3EBB80A9DA954CA68EDBF69D994D6F" ma:contentTypeVersion="7" ma:contentTypeDescription="Create a new document." ma:contentTypeScope="" ma:versionID="c476ba719a66ce13132a6401d6945285">
  <xsd:schema xmlns:xsd="http://www.w3.org/2001/XMLSchema" xmlns:xs="http://www.w3.org/2001/XMLSchema" xmlns:p="http://schemas.microsoft.com/office/2006/metadata/properties" xmlns:ns1="http://schemas.microsoft.com/sharepoint/v3" xmlns:ns2="967ff642-b8ab-482c-84db-d2bed95e1bd3" targetNamespace="http://schemas.microsoft.com/office/2006/metadata/properties" ma:root="true" ma:fieldsID="03c4c38457b66162ae42dd82609f1bfe" ns1:_="" ns2:_="">
    <xsd:import namespace="http://schemas.microsoft.com/sharepoint/v3"/>
    <xsd:import namespace="967ff642-b8ab-482c-84db-d2bed95e1b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7ff642-b8ab-482c-84db-d2bed95e1b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1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DA9AA87-60A8-4237-8A5F-0EF5B1BBD15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87239C0-F782-4292-8425-04E1C2C61C63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dcmitype/"/>
    <ds:schemaRef ds:uri="5e2db648-71e5-403d-bff8-dc10f4ef4f87"/>
    <ds:schemaRef ds:uri="http://www.w3.org/XML/1998/namespace"/>
    <ds:schemaRef ds:uri="http://purl.org/dc/terms/"/>
    <ds:schemaRef ds:uri="http://schemas.openxmlformats.org/package/2006/metadata/core-properties"/>
    <ds:schemaRef ds:uri="d0de27d6-ed64-4365-b454-c85f97c82a09"/>
    <ds:schemaRef ds:uri="http://schemas.microsoft.com/sharepoint/v3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0FA604CB-3B90-4119-9CAD-71C8CD0771DA}"/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global_inventory_export11182025</vt:lpstr>
      <vt:lpstr>demo_prompts</vt:lpstr>
      <vt:lpstr>Inventory 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revision/>
  <dcterms:created xsi:type="dcterms:W3CDTF">2025-11-07T15:49:26Z</dcterms:created>
  <dcterms:modified xsi:type="dcterms:W3CDTF">2026-03-25T14:28:06Z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0x0101000D3EBB80A9DA954CA68EDBF69D994D6F</vt:lpwstr>
  </property>
  <property fmtid="{D5CDD505-2E9C-101B-9397-08002B2CF9AE}" pid="3" name="Order">
    <vt:r8>274800</vt:r8>
  </property>
  <property fmtid="{D5CDD505-2E9C-101B-9397-08002B2CF9AE}" pid="4" name="ComplianceAssetId">
    <vt:lpwstr/>
  </property>
  <property fmtid="{D5CDD505-2E9C-101B-9397-08002B2CF9AE}" pid="5" name="_activity">
    <vt:lpwstr>{"FileActivityType":"9","FileActivityTimeStamp":"2026-02-04T15:33:29.897Z","FileActivityUsersOnPage":[{"DisplayName":"Rajiv Thandla","Id":"rajivthandla@microsoft.com"}],"FileActivityNavigationId":null}</vt:lpwstr>
  </property>
  <property fmtid="{D5CDD505-2E9C-101B-9397-08002B2CF9AE}" pid="6" name="TriggerFlowInfo">
    <vt:lpwstr/>
  </property>
  <property fmtid="{D5CDD505-2E9C-101B-9397-08002B2CF9AE}" pid="7" name="MediaServiceImageTags">
    <vt:lpwstr/>
  </property>
</Properties>
</file>