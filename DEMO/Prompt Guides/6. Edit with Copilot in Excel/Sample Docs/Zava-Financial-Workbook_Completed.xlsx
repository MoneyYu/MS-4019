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Copilot Work/MS-4019-lite/Final/4019lite/Prompt Guides/6. Edit with Copilot in Excel/Sample Docs/"/>
    </mc:Choice>
  </mc:AlternateContent>
  <xr:revisionPtr revIDLastSave="8" documentId="8_{87936DE0-152A-4243-B5EA-1C468AF70AB0}" xr6:coauthVersionLast="47" xr6:coauthVersionMax="47" xr10:uidLastSave="{54E5D431-34BF-4A49-AA8D-120205D40AF7}"/>
  <bookViews>
    <workbookView xWindow="-120" yWindow="-120" windowWidth="51840" windowHeight="21840" xr2:uid="{00000000-000D-0000-FFFF-FFFF00000000}"/>
  </bookViews>
  <sheets>
    <sheet name="Product Categories" sheetId="2" r:id="rId1"/>
    <sheet name="Regional Sales" sheetId="3" r:id="rId2"/>
    <sheet name="Monthly Financial Data" sheetId="1" r:id="rId3"/>
    <sheet name="Executive Dashboard" sheetId="4" r:id="rId4"/>
  </sheets>
  <calcPr calcId="191028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4" l="1"/>
  <c r="E75" i="4"/>
  <c r="F74" i="4"/>
  <c r="E74" i="4"/>
  <c r="F73" i="4"/>
  <c r="E73" i="4"/>
  <c r="F72" i="4"/>
  <c r="E72" i="4"/>
  <c r="F71" i="4"/>
  <c r="E71" i="4"/>
  <c r="C73" i="4"/>
  <c r="B73" i="4"/>
  <c r="C72" i="4"/>
  <c r="B72" i="4"/>
  <c r="C71" i="4"/>
  <c r="B71" i="4"/>
  <c r="N42" i="4"/>
  <c r="M42" i="4"/>
  <c r="K42" i="4"/>
  <c r="J42" i="4"/>
  <c r="L42" i="4"/>
  <c r="N41" i="4"/>
  <c r="M41" i="4"/>
  <c r="K41" i="4"/>
  <c r="J41" i="4"/>
  <c r="L41" i="4"/>
  <c r="N40" i="4"/>
  <c r="M40" i="4"/>
  <c r="K40" i="4"/>
  <c r="J40" i="4"/>
  <c r="L40" i="4"/>
  <c r="N39" i="4"/>
  <c r="M39" i="4"/>
  <c r="K39" i="4"/>
  <c r="J39" i="4"/>
  <c r="L39" i="4"/>
  <c r="N38" i="4"/>
  <c r="M38" i="4"/>
  <c r="K38" i="4"/>
  <c r="J38" i="4"/>
  <c r="L38" i="4"/>
  <c r="N37" i="4"/>
  <c r="M37" i="4"/>
  <c r="K37" i="4"/>
  <c r="J37" i="4"/>
  <c r="L37" i="4"/>
  <c r="N36" i="4"/>
  <c r="M36" i="4"/>
  <c r="K36" i="4"/>
  <c r="J36" i="4"/>
  <c r="L36" i="4"/>
  <c r="N35" i="4"/>
  <c r="M35" i="4"/>
  <c r="K35" i="4"/>
  <c r="J35" i="4"/>
  <c r="L35" i="4"/>
  <c r="N34" i="4"/>
  <c r="M34" i="4"/>
  <c r="K34" i="4"/>
  <c r="J34" i="4"/>
  <c r="L34" i="4"/>
  <c r="N33" i="4"/>
  <c r="M33" i="4"/>
  <c r="K33" i="4"/>
  <c r="J33" i="4"/>
  <c r="L33" i="4"/>
  <c r="N32" i="4"/>
  <c r="M32" i="4"/>
  <c r="K32" i="4"/>
  <c r="J32" i="4"/>
  <c r="L32" i="4"/>
  <c r="N31" i="4"/>
  <c r="M31" i="4"/>
  <c r="K31" i="4"/>
  <c r="J31" i="4"/>
  <c r="L31" i="4"/>
  <c r="N30" i="4"/>
  <c r="M30" i="4"/>
  <c r="K30" i="4"/>
  <c r="J30" i="4"/>
  <c r="L3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N26" i="4"/>
  <c r="K26" i="4"/>
  <c r="J26" i="4"/>
  <c r="N25" i="4"/>
  <c r="K25" i="4"/>
  <c r="J25" i="4"/>
  <c r="N24" i="4"/>
  <c r="M24" i="4"/>
  <c r="L24" i="4"/>
  <c r="K24" i="4"/>
  <c r="J24" i="4"/>
  <c r="N23" i="4"/>
  <c r="M23" i="4"/>
  <c r="L23" i="4"/>
  <c r="K23" i="4"/>
  <c r="J23" i="4"/>
  <c r="N22" i="4"/>
  <c r="M22" i="4"/>
  <c r="L22" i="4"/>
  <c r="K22" i="4"/>
  <c r="J22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C30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M12" i="4"/>
  <c r="L12" i="4"/>
  <c r="K12" i="4"/>
  <c r="J12" i="4"/>
  <c r="I12" i="4"/>
  <c r="N11" i="4"/>
  <c r="M11" i="4"/>
  <c r="L11" i="4"/>
  <c r="K11" i="4"/>
  <c r="J11" i="4"/>
  <c r="I11" i="4"/>
  <c r="N10" i="4"/>
  <c r="M10" i="4"/>
  <c r="L10" i="4"/>
  <c r="K10" i="4"/>
  <c r="J10" i="4"/>
  <c r="I10" i="4"/>
  <c r="N9" i="4"/>
  <c r="M9" i="4"/>
  <c r="L9" i="4"/>
  <c r="K9" i="4"/>
  <c r="J9" i="4"/>
  <c r="I9" i="4"/>
  <c r="N8" i="4"/>
  <c r="M8" i="4"/>
  <c r="L8" i="4"/>
  <c r="K8" i="4"/>
  <c r="J8" i="4"/>
  <c r="I8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M4" i="4"/>
  <c r="J4" i="4"/>
  <c r="G4" i="4"/>
  <c r="D4" i="4"/>
  <c r="A4" i="4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27" i="2"/>
  <c r="A128" i="2"/>
  <c r="A129" i="2"/>
  <c r="A130" i="2"/>
  <c r="A131" i="2"/>
  <c r="A132" i="2"/>
  <c r="A133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16" i="1"/>
  <c r="A17" i="1"/>
  <c r="A18" i="1"/>
  <c r="A19" i="1"/>
  <c r="A20" i="1"/>
  <c r="A21" i="1"/>
  <c r="A22" i="1"/>
  <c r="A23" i="1"/>
  <c r="A24" i="1"/>
  <c r="A25" i="1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</calcChain>
</file>

<file path=xl/sharedStrings.xml><?xml version="1.0" encoding="utf-8"?>
<sst xmlns="http://schemas.openxmlformats.org/spreadsheetml/2006/main" count="598" uniqueCount="92">
  <si>
    <t>ZAVA SMART FABRIC &amp; ATHLETIC WEAR - 2025 YTD SALES REPORT</t>
  </si>
  <si>
    <t>Month</t>
  </si>
  <si>
    <t>Category</t>
  </si>
  <si>
    <t>Product</t>
  </si>
  <si>
    <t>Units Sold</t>
  </si>
  <si>
    <t>Unit Price ($)</t>
  </si>
  <si>
    <t>Revenue ($)</t>
  </si>
  <si>
    <t>Gross Profit ($)</t>
  </si>
  <si>
    <t>Oct 2024</t>
  </si>
  <si>
    <t>Smart Fabric</t>
  </si>
  <si>
    <t>Smart Athletic Shirts</t>
  </si>
  <si>
    <t>Performance Monitoring Leggings</t>
  </si>
  <si>
    <t>Temperature-Regulating Shorts</t>
  </si>
  <si>
    <t>Biometric Sports Bras</t>
  </si>
  <si>
    <t>Zava Smart Fiber</t>
  </si>
  <si>
    <t>AI-Enhanced Running Socks</t>
  </si>
  <si>
    <t>Traditional Athletic Wear</t>
  </si>
  <si>
    <t>Basic Athletic Shirts</t>
  </si>
  <si>
    <t>Standard Leggings</t>
  </si>
  <si>
    <t>Athletic Shorts</t>
  </si>
  <si>
    <t>Sports Bras</t>
  </si>
  <si>
    <t>Compression Wear</t>
  </si>
  <si>
    <t>Athletic Socks</t>
  </si>
  <si>
    <t>Accessories &amp; Equipment</t>
  </si>
  <si>
    <t>Nov 2024</t>
  </si>
  <si>
    <t>Dec 2024</t>
  </si>
  <si>
    <t>Region</t>
  </si>
  <si>
    <t>Total Revenue ($)</t>
  </si>
  <si>
    <t>Smart Fabric Revenue ($)</t>
  </si>
  <si>
    <t>Traditional Revenue ($)</t>
  </si>
  <si>
    <t>Smart Fabric %</t>
  </si>
  <si>
    <t>Customers</t>
  </si>
  <si>
    <t>North America</t>
  </si>
  <si>
    <t>Europe</t>
  </si>
  <si>
    <t>Asia Pacific</t>
  </si>
  <si>
    <t>Other Markets</t>
  </si>
  <si>
    <t>COGS ($)</t>
  </si>
  <si>
    <t>Gross Margin (%)</t>
  </si>
  <si>
    <t>OPEX ($)</t>
  </si>
  <si>
    <t>Net Profit ($)</t>
  </si>
  <si>
    <t>Notes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</si>
  <si>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</si>
  <si>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</si>
  <si>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</si>
  <si>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</si>
  <si>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</si>
  <si>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</si>
  <si>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</si>
  <si>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</si>
  <si>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</si>
  <si>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Launch: Zava Smart Fiber v1</t>
  </si>
  <si>
    <t>Holiday spike</t>
  </si>
  <si>
    <t>Holiday peak</t>
  </si>
  <si>
    <t>Marketing campaign launched for Smart Fiber</t>
  </si>
  <si>
    <t>Total Units Sold</t>
  </si>
  <si>
    <t>ZAVA SMART FABRIC &amp; ATHLETIC WEAR — 2025 YTD EXECUTIVE DASHBOARD</t>
  </si>
  <si>
    <t>Period: January 2025 – October 2025  |  Data Sources: Product Categories, Regional Sales, Monthly Financial Data</t>
  </si>
  <si>
    <t>Total 2025 YTD Revenue</t>
  </si>
  <si>
    <t>Total 2025 YTD Net Profit</t>
  </si>
  <si>
    <t>Avg Gross Margin</t>
  </si>
  <si>
    <t>Total 2025 Units Sold</t>
  </si>
  <si>
    <t>Total 2025 Customers</t>
  </si>
  <si>
    <t>MONTHLY REVENUE &amp; PROFIT TREND (2025)</t>
  </si>
  <si>
    <t>Gross Margin</t>
  </si>
  <si>
    <t>TOTAL / AVG</t>
  </si>
  <si>
    <t>REVENUE BY REGION (2025 YTD)</t>
  </si>
  <si>
    <t>Smart Fabric Rev ($)</t>
  </si>
  <si>
    <t>Traditional Rev ($)</t>
  </si>
  <si>
    <t>Total Customers</t>
  </si>
  <si>
    <t>% of Revenue</t>
  </si>
  <si>
    <t>TOTAL</t>
  </si>
  <si>
    <t>PRODUCT PERFORMANCE (2025 YTD)</t>
  </si>
  <si>
    <t>Total Gross Profit ($)</t>
  </si>
  <si>
    <t>Avg Unit Price ($)</t>
  </si>
  <si>
    <t>% of Total Revenue</t>
  </si>
  <si>
    <t>SMART FABRIC vs TRADITIONAL (2025 YTD)</t>
  </si>
  <si>
    <t>Metric</t>
  </si>
  <si>
    <t>Traditional</t>
  </si>
  <si>
    <t>SF % Share</t>
  </si>
  <si>
    <t>Trad % Share</t>
  </si>
  <si>
    <t>Grand Total</t>
  </si>
  <si>
    <t>—</t>
  </si>
  <si>
    <t>Profit Margin (%)</t>
  </si>
  <si>
    <t>MONTHLY REVENUE BY REGION (2025)</t>
  </si>
  <si>
    <t>Total</t>
  </si>
  <si>
    <t>TOP PRODUCTS BY REVENUE (2025 YTD)</t>
  </si>
  <si>
    <t>Rank</t>
  </si>
  <si>
    <t>VISUAL ANALYTICS</t>
  </si>
  <si>
    <t>Revenue ($M)</t>
  </si>
  <si>
    <t>Gross Profit ($M)</t>
  </si>
  <si>
    <t>Units Sold (K)</t>
  </si>
  <si>
    <t>Note: All data is formula-driven from source sheets (Product Categories, Regional Sales, Monthly Financial Data). Smart Fabric includes 6 products; Traditional Athletic Wear includes 7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</si>
</sst>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"/>
    <numFmt numFmtId="166" formatCode="&quot;$&quot;#,##0.00"/>
    <numFmt numFmtId="167" formatCode="mmm\ yyyy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2"/>
      <color rgb="FFFFFFFF"/>
      <name val="Calibri"/>
    </font>
    <font>
      <b/>
      <sz val="16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1B2A4A"/>
      <name val="Calibri"/>
      <family val="2"/>
      <scheme val="minor"/>
    </font>
    <font>
      <b/>
      <sz val="18"/>
      <color rgb="FF1B6B3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8"/>
      <color rgb="FF99999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B2A4A"/>
        <bgColor indexed="64"/>
      </patternFill>
    </fill>
    <fill>
      <patternFill patternType="solid">
        <fgColor rgb="FFE8ECF1"/>
        <bgColor indexed="64"/>
      </patternFill>
    </fill>
    <fill>
      <patternFill patternType="solid">
        <fgColor rgb="FFF0F7F0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B2A4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49" fontId="0" fillId="0" borderId="1" xfId="0" applyNumberFormat="1" applyBorder="1"/>
    <xf numFmtId="167" fontId="0" fillId="0" borderId="1" xfId="0" applyNumberFormat="1" applyBorder="1"/>
    <xf numFmtId="17" fontId="0" fillId="0" borderId="1" xfId="0" applyNumberFormat="1" applyBorder="1"/>
    <xf numFmtId="167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167" fontId="0" fillId="0" borderId="3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3" fontId="0" fillId="0" borderId="2" xfId="0" applyNumberFormat="1" applyBorder="1"/>
    <xf numFmtId="17" fontId="0" fillId="0" borderId="3" xfId="0" applyNumberFormat="1" applyBorder="1"/>
    <xf numFmtId="3" fontId="0" fillId="0" borderId="3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7" fontId="0" fillId="0" borderId="2" xfId="0" applyNumberFormat="1" applyBorder="1"/>
    <xf numFmtId="0" fontId="0" fillId="0" borderId="4" xfId="0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7" fontId="0" fillId="0" borderId="3" xfId="0" applyNumberForma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5" borderId="0" xfId="0" applyFill="1"/>
    <xf numFmtId="0" fontId="0" fillId="5" borderId="5" xfId="0" applyFill="1" applyBorder="1"/>
    <xf numFmtId="0" fontId="10" fillId="0" borderId="0" xfId="0" applyFont="1"/>
    <xf numFmtId="165" fontId="10" fillId="0" borderId="0" xfId="0" applyNumberFormat="1" applyFont="1"/>
    <xf numFmtId="0" fontId="6" fillId="7" borderId="11" xfId="0" applyFont="1" applyFill="1" applyBorder="1"/>
    <xf numFmtId="0" fontId="4" fillId="8" borderId="10" xfId="0" applyFont="1" applyFill="1" applyBorder="1"/>
    <xf numFmtId="0" fontId="4" fillId="0" borderId="10" xfId="0" applyFont="1" applyBorder="1"/>
    <xf numFmtId="0" fontId="4" fillId="8" borderId="6" xfId="0" applyFont="1" applyFill="1" applyBorder="1"/>
    <xf numFmtId="0" fontId="4" fillId="0" borderId="6" xfId="0" applyFont="1" applyBorder="1"/>
    <xf numFmtId="0" fontId="6" fillId="7" borderId="8" xfId="0" applyFont="1" applyFill="1" applyBorder="1"/>
    <xf numFmtId="0" fontId="4" fillId="8" borderId="11" xfId="0" applyFont="1" applyFill="1" applyBorder="1"/>
    <xf numFmtId="0" fontId="6" fillId="9" borderId="6" xfId="0" applyFont="1" applyFill="1" applyBorder="1"/>
    <xf numFmtId="0" fontId="6" fillId="10" borderId="6" xfId="0" applyFont="1" applyFill="1" applyBorder="1"/>
    <xf numFmtId="0" fontId="6" fillId="11" borderId="6" xfId="0" applyFont="1" applyFill="1" applyBorder="1"/>
    <xf numFmtId="0" fontId="4" fillId="0" borderId="8" xfId="0" applyFont="1" applyBorder="1"/>
    <xf numFmtId="0" fontId="6" fillId="9" borderId="10" xfId="0" applyFont="1" applyFill="1" applyBorder="1"/>
    <xf numFmtId="0" fontId="6" fillId="10" borderId="10" xfId="0" applyFont="1" applyFill="1" applyBorder="1"/>
    <xf numFmtId="0" fontId="6" fillId="11" borderId="10" xfId="0" applyFont="1" applyFill="1" applyBorder="1"/>
    <xf numFmtId="0" fontId="4" fillId="0" borderId="11" xfId="0" applyFont="1" applyBorder="1"/>
    <xf numFmtId="167" fontId="4" fillId="8" borderId="10" xfId="0" applyNumberFormat="1" applyFont="1" applyFill="1" applyBorder="1"/>
    <xf numFmtId="167" fontId="4" fillId="0" borderId="10" xfId="0" applyNumberFormat="1" applyFont="1" applyBorder="1"/>
    <xf numFmtId="0" fontId="6" fillId="7" borderId="9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165" fontId="4" fillId="8" borderId="6" xfId="0" applyNumberFormat="1" applyFont="1" applyFill="1" applyBorder="1" applyAlignment="1">
      <alignment horizontal="right"/>
    </xf>
    <xf numFmtId="164" fontId="4" fillId="8" borderId="13" xfId="0" applyNumberFormat="1" applyFont="1" applyFill="1" applyBorder="1" applyAlignment="1">
      <alignment horizontal="right"/>
    </xf>
    <xf numFmtId="165" fontId="4" fillId="0" borderId="6" xfId="0" applyNumberFormat="1" applyFont="1" applyBorder="1" applyAlignment="1">
      <alignment horizontal="right"/>
    </xf>
    <xf numFmtId="164" fontId="4" fillId="0" borderId="13" xfId="0" applyNumberFormat="1" applyFont="1" applyBorder="1" applyAlignment="1">
      <alignment horizontal="right"/>
    </xf>
    <xf numFmtId="165" fontId="6" fillId="7" borderId="8" xfId="0" applyNumberFormat="1" applyFont="1" applyFill="1" applyBorder="1" applyAlignment="1">
      <alignment horizontal="right"/>
    </xf>
    <xf numFmtId="164" fontId="6" fillId="7" borderId="14" xfId="0" applyNumberFormat="1" applyFont="1" applyFill="1" applyBorder="1" applyAlignment="1">
      <alignment horizontal="right"/>
    </xf>
    <xf numFmtId="164" fontId="4" fillId="8" borderId="6" xfId="0" applyNumberFormat="1" applyFont="1" applyFill="1" applyBorder="1" applyAlignment="1">
      <alignment horizontal="right"/>
    </xf>
    <xf numFmtId="3" fontId="4" fillId="8" borderId="6" xfId="0" applyNumberFormat="1" applyFont="1" applyFill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164" fontId="6" fillId="7" borderId="8" xfId="0" applyNumberFormat="1" applyFont="1" applyFill="1" applyBorder="1" applyAlignment="1">
      <alignment horizontal="right"/>
    </xf>
    <xf numFmtId="3" fontId="6" fillId="7" borderId="8" xfId="0" applyNumberFormat="1" applyFont="1" applyFill="1" applyBorder="1" applyAlignment="1">
      <alignment horizontal="right"/>
    </xf>
    <xf numFmtId="10" fontId="6" fillId="7" borderId="14" xfId="0" applyNumberFormat="1" applyFont="1" applyFill="1" applyBorder="1" applyAlignment="1">
      <alignment horizontal="right"/>
    </xf>
    <xf numFmtId="0" fontId="4" fillId="8" borderId="10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166" fontId="4" fillId="8" borderId="6" xfId="0" applyNumberFormat="1" applyFont="1" applyFill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166" fontId="6" fillId="7" borderId="8" xfId="0" applyNumberFormat="1" applyFont="1" applyFill="1" applyBorder="1" applyAlignment="1">
      <alignment horizontal="right"/>
    </xf>
    <xf numFmtId="3" fontId="4" fillId="8" borderId="13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8" borderId="13" xfId="0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right"/>
    </xf>
    <xf numFmtId="166" fontId="4" fillId="0" borderId="13" xfId="0" applyNumberFormat="1" applyFont="1" applyBorder="1" applyAlignment="1">
      <alignment horizontal="right"/>
    </xf>
    <xf numFmtId="164" fontId="4" fillId="8" borderId="8" xfId="0" applyNumberFormat="1" applyFont="1" applyFill="1" applyBorder="1" applyAlignment="1">
      <alignment horizontal="right"/>
    </xf>
    <xf numFmtId="0" fontId="4" fillId="8" borderId="8" xfId="0" applyFont="1" applyFill="1" applyBorder="1" applyAlignment="1">
      <alignment horizontal="right"/>
    </xf>
    <xf numFmtId="164" fontId="4" fillId="8" borderId="14" xfId="0" applyNumberFormat="1" applyFont="1" applyFill="1" applyBorder="1" applyAlignment="1">
      <alignment horizontal="right"/>
    </xf>
    <xf numFmtId="165" fontId="6" fillId="9" borderId="6" xfId="0" applyNumberFormat="1" applyFont="1" applyFill="1" applyBorder="1" applyAlignment="1">
      <alignment horizontal="right"/>
    </xf>
    <xf numFmtId="3" fontId="6" fillId="9" borderId="6" xfId="0" applyNumberFormat="1" applyFont="1" applyFill="1" applyBorder="1" applyAlignment="1">
      <alignment horizontal="right"/>
    </xf>
    <xf numFmtId="164" fontId="6" fillId="9" borderId="13" xfId="0" applyNumberFormat="1" applyFont="1" applyFill="1" applyBorder="1" applyAlignment="1">
      <alignment horizontal="right"/>
    </xf>
    <xf numFmtId="165" fontId="6" fillId="10" borderId="6" xfId="0" applyNumberFormat="1" applyFont="1" applyFill="1" applyBorder="1" applyAlignment="1">
      <alignment horizontal="right"/>
    </xf>
    <xf numFmtId="3" fontId="6" fillId="10" borderId="6" xfId="0" applyNumberFormat="1" applyFont="1" applyFill="1" applyBorder="1" applyAlignment="1">
      <alignment horizontal="right"/>
    </xf>
    <xf numFmtId="164" fontId="6" fillId="10" borderId="13" xfId="0" applyNumberFormat="1" applyFont="1" applyFill="1" applyBorder="1" applyAlignment="1">
      <alignment horizontal="right"/>
    </xf>
    <xf numFmtId="165" fontId="6" fillId="11" borderId="6" xfId="0" applyNumberFormat="1" applyFont="1" applyFill="1" applyBorder="1" applyAlignment="1">
      <alignment horizontal="right"/>
    </xf>
    <xf numFmtId="3" fontId="6" fillId="11" borderId="6" xfId="0" applyNumberFormat="1" applyFont="1" applyFill="1" applyBorder="1" applyAlignment="1">
      <alignment horizontal="right"/>
    </xf>
    <xf numFmtId="164" fontId="6" fillId="11" borderId="13" xfId="0" applyNumberFormat="1" applyFont="1" applyFill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164" fontId="4" fillId="0" borderId="14" xfId="0" applyNumberFormat="1" applyFont="1" applyBorder="1" applyAlignment="1">
      <alignment horizontal="right"/>
    </xf>
    <xf numFmtId="165" fontId="6" fillId="7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5" fillId="4" borderId="0" xfId="0" applyFont="1" applyFill="1"/>
    <xf numFmtId="0" fontId="7" fillId="5" borderId="0" xfId="0" applyFont="1" applyFill="1"/>
    <xf numFmtId="165" fontId="8" fillId="5" borderId="5" xfId="0" applyNumberFormat="1" applyFont="1" applyFill="1" applyBorder="1"/>
    <xf numFmtId="164" fontId="8" fillId="5" borderId="5" xfId="0" applyNumberFormat="1" applyFont="1" applyFill="1" applyBorder="1"/>
    <xf numFmtId="3" fontId="8" fillId="5" borderId="5" xfId="0" applyNumberFormat="1" applyFont="1" applyFill="1" applyBorder="1"/>
    <xf numFmtId="0" fontId="9" fillId="6" borderId="0" xfId="0" applyFont="1" applyFill="1"/>
    <xf numFmtId="0" fontId="9" fillId="3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&amp; Net Profit Trend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Dashboard'!$B$7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rgbClr val="2E509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'Executive Dashboard'!$A$8:$A$17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Dashboard'!$B$8:$B$17</c:f>
              <c:numCache>
                <c:formatCode>"$"#,##0</c:formatCode>
                <c:ptCount val="10"/>
                <c:pt idx="0">
                  <c:v>3808346.15</c:v>
                </c:pt>
                <c:pt idx="1">
                  <c:v>3868571.03</c:v>
                </c:pt>
                <c:pt idx="2">
                  <c:v>4332697.55</c:v>
                </c:pt>
                <c:pt idx="3">
                  <c:v>4419351.5010000002</c:v>
                </c:pt>
                <c:pt idx="4">
                  <c:v>4507738.5310199996</c:v>
                </c:pt>
                <c:pt idx="5">
                  <c:v>4597893.3016403997</c:v>
                </c:pt>
                <c:pt idx="6">
                  <c:v>4689851.1676732097</c:v>
                </c:pt>
                <c:pt idx="7">
                  <c:v>4783648.1910266699</c:v>
                </c:pt>
                <c:pt idx="8">
                  <c:v>4879321.1548472103</c:v>
                </c:pt>
                <c:pt idx="9">
                  <c:v>4976907.5779441502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0-484E-92CD-C0A08B0B431F}"/>
            </c:ext>
          </c:extLst>
        </c:ser>
        <c:ser>
          <c:idx val="1"/>
          <c:order val="1"/>
          <c:tx>
            <c:v>Net Profit</c:v>
          </c:tx>
          <c:spPr>
            <a:ln w="28575" cap="rnd">
              <a:solidFill>
                <a:srgbClr val="1B6B3A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'Executive Dashboard'!$A$8:$A$17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Dashboard'!$E$8:$E$17</c:f>
              <c:numCache>
                <c:formatCode>"$"#,##0</c:formatCode>
                <c:ptCount val="10"/>
                <c:pt idx="0">
                  <c:v>761669.2300000001</c:v>
                </c:pt>
                <c:pt idx="1">
                  <c:v>773714.20600000001</c:v>
                </c:pt>
                <c:pt idx="2">
                  <c:v>866539.51</c:v>
                </c:pt>
                <c:pt idx="3">
                  <c:v>883870.30020000017</c:v>
                </c:pt>
                <c:pt idx="4">
                  <c:v>901547.70620399993</c:v>
                </c:pt>
                <c:pt idx="5">
                  <c:v>919578.66032808018</c:v>
                </c:pt>
                <c:pt idx="6">
                  <c:v>937970.2335346418</c:v>
                </c:pt>
                <c:pt idx="7">
                  <c:v>956729.63820533408</c:v>
                </c:pt>
                <c:pt idx="8">
                  <c:v>975864.23096944229</c:v>
                </c:pt>
                <c:pt idx="9">
                  <c:v>995381.51558882999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00-484E-92CD-C0A08B0B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794976"/>
        <c:axId val="1209785376"/>
      </c:lineChart>
      <c:dateAx>
        <c:axId val="120979497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85376"/>
        <c:crosses val="autoZero"/>
        <c:auto val="1"/>
        <c:lblOffset val="100"/>
        <c:baseTimeUnit val="months"/>
      </c:dateAx>
      <c:valAx>
        <c:axId val="12097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(2025 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E509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E9-4144-935D-B29266490B5A}"/>
              </c:ext>
            </c:extLst>
          </c:dPt>
          <c:dPt>
            <c:idx val="1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E9-4144-935D-B29266490B5A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E9-4144-935D-B29266490B5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E9-4144-935D-B29266490B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Dashboard'!$H$8:$H$11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Other Markets</c:v>
                </c:pt>
              </c:strCache>
            </c:strRef>
          </c:cat>
          <c:val>
            <c:numRef>
              <c:f>'Executive Dashboard'!$I$8:$I$11</c:f>
              <c:numCache>
                <c:formatCode>"$"#,##0</c:formatCode>
                <c:ptCount val="4"/>
                <c:pt idx="0">
                  <c:v>20637590.031369761</c:v>
                </c:pt>
                <c:pt idx="1">
                  <c:v>11664724.800339408</c:v>
                </c:pt>
                <c:pt idx="2">
                  <c:v>10767438.2772364</c:v>
                </c:pt>
                <c:pt idx="3">
                  <c:v>1794573.0462060648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9-4144-935D-B29266490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 Fabric vs Traditional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Dashboard'!$B$70</c:f>
              <c:strCache>
                <c:ptCount val="1"/>
                <c:pt idx="0">
                  <c:v>Smart Fabric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invertIfNegative val="0"/>
          <c:cat>
            <c:strRef>
              <c:f>'Executive Dashboard'!$A$71:$A$73</c:f>
              <c:strCache>
                <c:ptCount val="3"/>
                <c:pt idx="0">
                  <c:v>Revenue ($M)</c:v>
                </c:pt>
                <c:pt idx="1">
                  <c:v>Gross Profit ($M)</c:v>
                </c:pt>
                <c:pt idx="2">
                  <c:v>Units Sold (K)</c:v>
                </c:pt>
              </c:strCache>
            </c:strRef>
          </c:cat>
          <c:val>
            <c:numRef>
              <c:f>'Executive Dashboard'!$B$71:$B$73</c:f>
              <c:numCache>
                <c:formatCode>"$"#,##0</c:formatCode>
                <c:ptCount val="3"/>
                <c:pt idx="0">
                  <c:v>31.320345171072599</c:v>
                </c:pt>
                <c:pt idx="1">
                  <c:v>16.654036755395026</c:v>
                </c:pt>
                <c:pt idx="2" formatCode="General">
                  <c:v>264.524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E-493E-9745-02928035E971}"/>
            </c:ext>
          </c:extLst>
        </c:ser>
        <c:ser>
          <c:idx val="1"/>
          <c:order val="1"/>
          <c:tx>
            <c:strRef>
              <c:f>'Executive Dashboard'!$C$70</c:f>
              <c:strCache>
                <c:ptCount val="1"/>
                <c:pt idx="0">
                  <c:v>Traditional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'Executive Dashboard'!$A$71:$A$73</c:f>
              <c:strCache>
                <c:ptCount val="3"/>
                <c:pt idx="0">
                  <c:v>Revenue ($M)</c:v>
                </c:pt>
                <c:pt idx="1">
                  <c:v>Gross Profit ($M)</c:v>
                </c:pt>
                <c:pt idx="2">
                  <c:v>Units Sold (K)</c:v>
                </c:pt>
              </c:strCache>
            </c:strRef>
          </c:cat>
          <c:val>
            <c:numRef>
              <c:f>'Executive Dashboard'!$C$71:$C$73</c:f>
              <c:numCache>
                <c:formatCode>"$"#,##0</c:formatCode>
                <c:ptCount val="3"/>
                <c:pt idx="0">
                  <c:v>13.543980984079036</c:v>
                </c:pt>
                <c:pt idx="1">
                  <c:v>4.8758331542684523</c:v>
                </c:pt>
                <c:pt idx="2" formatCode="General">
                  <c:v>480.27499999999998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E-493E-9745-02928035E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808896"/>
        <c:axId val="1209809376"/>
      </c:barChart>
      <c:catAx>
        <c:axId val="12098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09376"/>
        <c:crosses val="autoZero"/>
        <c:auto val="1"/>
        <c:lblAlgn val="ctr"/>
        <c:lblOffset val="100"/>
        <c:noMultiLvlLbl val="0"/>
      </c:catAx>
      <c:valAx>
        <c:axId val="12098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0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by Region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'Executive Dashboard'!$B$38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cat>
            <c:numRef>
              <c:f>'Executive Dashboard'!$A$39:$A$48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Dashboard'!$B$39:$B$48</c:f>
              <c:numCache>
                <c:formatCode>"$"#,##0</c:formatCode>
                <c:ptCount val="10"/>
                <c:pt idx="0">
                  <c:v>1751839.2290000001</c:v>
                </c:pt>
                <c:pt idx="1">
                  <c:v>1779542.6738</c:v>
                </c:pt>
                <c:pt idx="2">
                  <c:v>1993040.8729999999</c:v>
                </c:pt>
                <c:pt idx="3">
                  <c:v>2032901.69046</c:v>
                </c:pt>
                <c:pt idx="4">
                  <c:v>2073559.7242692001</c:v>
                </c:pt>
                <c:pt idx="5">
                  <c:v>2115030.91875458</c:v>
                </c:pt>
                <c:pt idx="6">
                  <c:v>2157331.5371296802</c:v>
                </c:pt>
                <c:pt idx="7">
                  <c:v>2200478.1678722701</c:v>
                </c:pt>
                <c:pt idx="8">
                  <c:v>2244487.7312297202</c:v>
                </c:pt>
                <c:pt idx="9">
                  <c:v>2289377.48585431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5-4A3E-95B2-61068AE0EAB4}"/>
            </c:ext>
          </c:extLst>
        </c:ser>
        <c:ser>
          <c:idx val="1"/>
          <c:order val="1"/>
          <c:tx>
            <c:strRef>
              <c:f>'Executive Dashboard'!$C$38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'Executive Dashboard'!$A$39:$A$48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Dashboard'!$C$39:$C$48</c:f>
              <c:numCache>
                <c:formatCode>"$"#,##0</c:formatCode>
                <c:ptCount val="10"/>
                <c:pt idx="0">
                  <c:v>990169.99899999995</c:v>
                </c:pt>
                <c:pt idx="1">
                  <c:v>1005828.4678</c:v>
                </c:pt>
                <c:pt idx="2">
                  <c:v>1126501.3629999999</c:v>
                </c:pt>
                <c:pt idx="3">
                  <c:v>1149031.39026</c:v>
                </c:pt>
                <c:pt idx="4">
                  <c:v>1172012.0180652</c:v>
                </c:pt>
                <c:pt idx="5">
                  <c:v>1195452.2584265</c:v>
                </c:pt>
                <c:pt idx="6">
                  <c:v>1219361.30359503</c:v>
                </c:pt>
                <c:pt idx="7">
                  <c:v>1243748.52966693</c:v>
                </c:pt>
                <c:pt idx="8">
                  <c:v>1268623.50026027</c:v>
                </c:pt>
                <c:pt idx="9">
                  <c:v>1293995.97026548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5-4A3E-95B2-61068AE0EAB4}"/>
            </c:ext>
          </c:extLst>
        </c:ser>
        <c:ser>
          <c:idx val="2"/>
          <c:order val="2"/>
          <c:tx>
            <c:strRef>
              <c:f>'Executive Dashboard'!$D$38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'Executive Dashboard'!$A$39:$A$48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Dashboard'!$D$39:$D$48</c:f>
              <c:numCache>
                <c:formatCode>"$"#,##0</c:formatCode>
                <c:ptCount val="10"/>
                <c:pt idx="0">
                  <c:v>914003.076</c:v>
                </c:pt>
                <c:pt idx="1">
                  <c:v>928457.04720000003</c:v>
                </c:pt>
                <c:pt idx="2">
                  <c:v>1039847.412</c:v>
                </c:pt>
                <c:pt idx="3">
                  <c:v>1060644.3602400001</c:v>
                </c:pt>
                <c:pt idx="4">
                  <c:v>1081857.2474448001</c:v>
                </c:pt>
                <c:pt idx="5">
                  <c:v>1103494.3923937001</c:v>
                </c:pt>
                <c:pt idx="6">
                  <c:v>1125564.28024157</c:v>
                </c:pt>
                <c:pt idx="7">
                  <c:v>1148075.5658464001</c:v>
                </c:pt>
                <c:pt idx="8">
                  <c:v>1171037.07716333</c:v>
                </c:pt>
                <c:pt idx="9">
                  <c:v>1194457.8187066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5-4A3E-95B2-61068AE0EAB4}"/>
            </c:ext>
          </c:extLst>
        </c:ser>
        <c:ser>
          <c:idx val="3"/>
          <c:order val="3"/>
          <c:tx>
            <c:strRef>
              <c:f>'Executive Dashboard'!$E$38</c:f>
              <c:strCache>
                <c:ptCount val="1"/>
                <c:pt idx="0">
                  <c:v>Other Markets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'Executive Dashboard'!$A$39:$A$48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Dashboard'!$E$39:$E$48</c:f>
              <c:numCache>
                <c:formatCode>"$"#,##0</c:formatCode>
                <c:ptCount val="10"/>
                <c:pt idx="0">
                  <c:v>152333.84599999999</c:v>
                </c:pt>
                <c:pt idx="1">
                  <c:v>154742.8412</c:v>
                </c:pt>
                <c:pt idx="2">
                  <c:v>173307.902</c:v>
                </c:pt>
                <c:pt idx="3">
                  <c:v>176774.06004000001</c:v>
                </c:pt>
                <c:pt idx="4">
                  <c:v>180309.5412408</c:v>
                </c:pt>
                <c:pt idx="5">
                  <c:v>183915.732065616</c:v>
                </c:pt>
                <c:pt idx="6">
                  <c:v>187594.046706928</c:v>
                </c:pt>
                <c:pt idx="7">
                  <c:v>191345.92764106701</c:v>
                </c:pt>
                <c:pt idx="8">
                  <c:v>195172.84619388799</c:v>
                </c:pt>
                <c:pt idx="9">
                  <c:v>199076.30311776599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5-4A3E-95B2-61068AE0E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815136"/>
        <c:axId val="1209815616"/>
      </c:areaChart>
      <c:dateAx>
        <c:axId val="12098151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15616"/>
        <c:crosses val="autoZero"/>
        <c:auto val="1"/>
        <c:lblOffset val="100"/>
        <c:baseTimeUnit val="months"/>
      </c:dateAx>
      <c:valAx>
        <c:axId val="12098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1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Revenue (2025 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Dashboard'!$F$70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invertIfNegative val="0"/>
          <c:dLbls>
            <c:numFmt formatCode="&quot;$&quot;#,##0.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Dashboard'!$E$71:$E$75</c:f>
              <c:strCache>
                <c:ptCount val="5"/>
                <c:pt idx="0">
                  <c:v>Zava Smart Fiber</c:v>
                </c:pt>
                <c:pt idx="1">
                  <c:v>Smart Athletic Shirts</c:v>
                </c:pt>
                <c:pt idx="2">
                  <c:v>Performance Monitoring Leggings</c:v>
                </c:pt>
                <c:pt idx="3">
                  <c:v>Temperature-Regulating Shorts</c:v>
                </c:pt>
                <c:pt idx="4">
                  <c:v>Biometric Sports Bras</c:v>
                </c:pt>
              </c:strCache>
            </c:strRef>
          </c:cat>
          <c:val>
            <c:numRef>
              <c:f>'Executive Dashboard'!$F$71:$F$75</c:f>
              <c:numCache>
                <c:formatCode>"$"#,##0</c:formatCode>
                <c:ptCount val="5"/>
                <c:pt idx="0">
                  <c:v>9.1864316609317953</c:v>
                </c:pt>
                <c:pt idx="1">
                  <c:v>6.28847831596278</c:v>
                </c:pt>
                <c:pt idx="2">
                  <c:v>5.0297486668426652</c:v>
                </c:pt>
                <c:pt idx="3">
                  <c:v>4.5276350688388938</c:v>
                </c:pt>
                <c:pt idx="4">
                  <c:v>3.7728422576210461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9-40C5-A42E-6270F22C2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836736"/>
        <c:axId val="1209834336"/>
      </c:barChart>
      <c:catAx>
        <c:axId val="120983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34336"/>
        <c:crosses val="autoZero"/>
        <c:auto val="1"/>
        <c:lblAlgn val="ctr"/>
        <c:lblOffset val="100"/>
        <c:noMultiLvlLbl val="0"/>
      </c:catAx>
      <c:valAx>
        <c:axId val="120983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3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0</xdr:rowOff>
    </xdr:from>
    <xdr:to>
      <xdr:col>7</xdr:col>
      <xdr:colOff>0</xdr:colOff>
      <xdr:row>68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F72D7A-073E-89BC-553F-4BF08DE18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51</xdr:row>
      <xdr:rowOff>0</xdr:rowOff>
    </xdr:from>
    <xdr:to>
      <xdr:col>11</xdr:col>
      <xdr:colOff>0</xdr:colOff>
      <xdr:row>68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DA4987-A787-7331-476F-EE349130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51</xdr:row>
      <xdr:rowOff>0</xdr:rowOff>
    </xdr:from>
    <xdr:to>
      <xdr:col>14</xdr:col>
      <xdr:colOff>1</xdr:colOff>
      <xdr:row>68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2DF8A7-BAD9-095C-A60F-FDCD39ED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7</xdr:col>
      <xdr:colOff>0</xdr:colOff>
      <xdr:row>83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355A7-1973-18E3-D9CA-4C3FE0C6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68</xdr:row>
      <xdr:rowOff>0</xdr:rowOff>
    </xdr:from>
    <xdr:to>
      <xdr:col>14</xdr:col>
      <xdr:colOff>0</xdr:colOff>
      <xdr:row>83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054F40-209A-A397-6AF0-1C535375B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2"/>
  <sheetViews>
    <sheetView tabSelected="1" zoomScale="122" workbookViewId="0">
      <selection activeCell="H3" sqref="H3:K6"/>
    </sheetView>
  </sheetViews>
  <sheetFormatPr defaultRowHeight="15" customHeight="1" x14ac:dyDescent="0.25"/>
  <cols>
    <col min="1" max="1" width="25.140625" style="25" bestFit="1" customWidth="1"/>
    <col min="2" max="2" width="23.42578125" bestFit="1" customWidth="1"/>
    <col min="3" max="3" width="31.42578125" customWidth="1"/>
    <col min="4" max="4" width="10.7109375" bestFit="1" customWidth="1"/>
    <col min="5" max="5" width="13.5703125" bestFit="1" customWidth="1"/>
    <col min="6" max="6" width="12.5703125" bestFit="1" customWidth="1"/>
    <col min="7" max="7" width="15.5703125" bestFit="1" customWidth="1"/>
    <col min="9" max="9" width="5.28515625" bestFit="1" customWidth="1"/>
    <col min="10" max="10" width="15" bestFit="1" customWidth="1"/>
    <col min="11" max="11" width="15.140625" bestFit="1" customWidth="1"/>
  </cols>
  <sheetData>
    <row r="1" spans="1:7" ht="18.75" x14ac:dyDescent="0.3">
      <c r="A1" s="95" t="s">
        <v>0</v>
      </c>
      <c r="B1" s="95"/>
      <c r="C1" s="95"/>
      <c r="D1" s="95"/>
      <c r="E1" s="95"/>
      <c r="F1" s="95"/>
      <c r="G1" s="95"/>
    </row>
    <row r="2" spans="1:7" x14ac:dyDescent="0.25"/>
    <row r="3" spans="1:7" ht="15.75" x14ac:dyDescent="0.25">
      <c r="A3" s="26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7" t="s">
        <v>8</v>
      </c>
      <c r="B4" s="2" t="s">
        <v>9</v>
      </c>
      <c r="C4" s="2" t="s">
        <v>10</v>
      </c>
      <c r="D4" s="2">
        <v>2929</v>
      </c>
      <c r="E4" s="6">
        <v>129.99</v>
      </c>
      <c r="F4" s="5">
        <v>437351.39666761085</v>
      </c>
      <c r="G4" s="5">
        <v>227422.72626715765</v>
      </c>
    </row>
    <row r="5" spans="1:7" x14ac:dyDescent="0.25">
      <c r="A5" s="27" t="s">
        <v>8</v>
      </c>
      <c r="B5" s="2" t="s">
        <v>9</v>
      </c>
      <c r="C5" s="2" t="s">
        <v>11</v>
      </c>
      <c r="D5" s="2">
        <v>1904</v>
      </c>
      <c r="E5" s="6">
        <v>159.99</v>
      </c>
      <c r="F5" s="5">
        <v>349913.73081756459</v>
      </c>
      <c r="G5" s="5">
        <v>181955.14002513359</v>
      </c>
    </row>
    <row r="6" spans="1:7" x14ac:dyDescent="0.25">
      <c r="A6" s="27" t="s">
        <v>8</v>
      </c>
      <c r="B6" s="2" t="s">
        <v>9</v>
      </c>
      <c r="C6" s="2" t="s">
        <v>12</v>
      </c>
      <c r="D6" s="2">
        <v>3046</v>
      </c>
      <c r="E6" s="6">
        <v>89.99</v>
      </c>
      <c r="F6" s="5">
        <v>314865.69996393693</v>
      </c>
      <c r="G6" s="5">
        <v>163730.1639812472</v>
      </c>
    </row>
    <row r="7" spans="1:7" x14ac:dyDescent="0.25">
      <c r="A7" s="27" t="s">
        <v>8</v>
      </c>
      <c r="B7" s="2" t="s">
        <v>9</v>
      </c>
      <c r="C7" s="2" t="s">
        <v>13</v>
      </c>
      <c r="D7" s="2">
        <v>2856</v>
      </c>
      <c r="E7" s="6">
        <v>79.989999999999995</v>
      </c>
      <c r="F7" s="5">
        <v>262418.89488183934</v>
      </c>
      <c r="G7" s="5">
        <v>136457.82533855646</v>
      </c>
    </row>
    <row r="8" spans="1:7" x14ac:dyDescent="0.25">
      <c r="A8" s="27" t="s">
        <v>8</v>
      </c>
      <c r="B8" s="2" t="s">
        <v>9</v>
      </c>
      <c r="C8" s="2" t="s">
        <v>14</v>
      </c>
      <c r="D8" s="2">
        <v>2431</v>
      </c>
      <c r="E8" s="6">
        <v>229</v>
      </c>
      <c r="F8" s="5">
        <v>639472.16249468643</v>
      </c>
      <c r="G8" s="5">
        <v>358104.41099702445</v>
      </c>
    </row>
    <row r="9" spans="1:7" x14ac:dyDescent="0.25">
      <c r="A9" s="27" t="s">
        <v>8</v>
      </c>
      <c r="B9" s="2" t="s">
        <v>9</v>
      </c>
      <c r="C9" s="2" t="s">
        <v>15</v>
      </c>
      <c r="D9" s="2">
        <v>3809</v>
      </c>
      <c r="E9" s="6">
        <v>39.99</v>
      </c>
      <c r="F9" s="5">
        <v>174969.9948859635</v>
      </c>
      <c r="G9" s="5">
        <v>90984.39734070102</v>
      </c>
    </row>
    <row r="10" spans="1:7" x14ac:dyDescent="0.25">
      <c r="A10" s="27" t="s">
        <v>8</v>
      </c>
      <c r="B10" s="2" t="s">
        <v>16</v>
      </c>
      <c r="C10" s="2" t="s">
        <v>17</v>
      </c>
      <c r="D10" s="2">
        <v>5470</v>
      </c>
      <c r="E10" s="6">
        <v>29.99</v>
      </c>
      <c r="F10" s="5">
        <v>188436.48495522639</v>
      </c>
      <c r="G10" s="5">
        <v>67837.134583881503</v>
      </c>
    </row>
    <row r="11" spans="1:7" x14ac:dyDescent="0.25">
      <c r="A11" s="27" t="s">
        <v>8</v>
      </c>
      <c r="B11" s="2" t="s">
        <v>16</v>
      </c>
      <c r="C11" s="2" t="s">
        <v>18</v>
      </c>
      <c r="D11" s="2">
        <v>2953</v>
      </c>
      <c r="E11" s="6">
        <v>49.99</v>
      </c>
      <c r="F11" s="5">
        <v>169569.51814065047</v>
      </c>
      <c r="G11" s="5">
        <v>61045.026530634168</v>
      </c>
    </row>
    <row r="12" spans="1:7" x14ac:dyDescent="0.25">
      <c r="A12" s="27" t="s">
        <v>8</v>
      </c>
      <c r="B12" s="2" t="s">
        <v>16</v>
      </c>
      <c r="C12" s="2" t="s">
        <v>19</v>
      </c>
      <c r="D12" s="2">
        <v>3516</v>
      </c>
      <c r="E12" s="6">
        <v>34.99</v>
      </c>
      <c r="F12" s="5">
        <v>141316.87047284583</v>
      </c>
      <c r="G12" s="5">
        <v>50874.073370224498</v>
      </c>
    </row>
    <row r="13" spans="1:7" x14ac:dyDescent="0.25">
      <c r="A13" s="27" t="s">
        <v>8</v>
      </c>
      <c r="B13" s="2" t="s">
        <v>16</v>
      </c>
      <c r="C13" s="2" t="s">
        <v>20</v>
      </c>
      <c r="D13" s="2">
        <v>3938</v>
      </c>
      <c r="E13" s="6">
        <v>24.99</v>
      </c>
      <c r="F13" s="5">
        <v>113042.86873847956</v>
      </c>
      <c r="G13" s="5">
        <v>40695.432745852639</v>
      </c>
    </row>
    <row r="14" spans="1:7" x14ac:dyDescent="0.25">
      <c r="A14" s="27" t="s">
        <v>8</v>
      </c>
      <c r="B14" s="2" t="s">
        <v>16</v>
      </c>
      <c r="C14" s="2" t="s">
        <v>21</v>
      </c>
      <c r="D14" s="2">
        <v>1367</v>
      </c>
      <c r="E14" s="6">
        <v>59.99</v>
      </c>
      <c r="F14" s="5">
        <v>94199.495927517171</v>
      </c>
      <c r="G14" s="5">
        <v>33911.818533906182</v>
      </c>
    </row>
    <row r="15" spans="1:7" x14ac:dyDescent="0.25">
      <c r="A15" s="27" t="s">
        <v>8</v>
      </c>
      <c r="B15" s="2" t="s">
        <v>16</v>
      </c>
      <c r="C15" s="2" t="s">
        <v>22</v>
      </c>
      <c r="D15" s="2">
        <v>9471</v>
      </c>
      <c r="E15" s="6">
        <v>12.99</v>
      </c>
      <c r="F15" s="5">
        <v>141320.83343839922</v>
      </c>
      <c r="G15" s="5">
        <v>50875.500037823716</v>
      </c>
    </row>
    <row r="16" spans="1:7" x14ac:dyDescent="0.25">
      <c r="A16" s="27" t="s">
        <v>8</v>
      </c>
      <c r="B16" s="2" t="s">
        <v>16</v>
      </c>
      <c r="C16" s="2" t="s">
        <v>23</v>
      </c>
      <c r="D16" s="2">
        <v>4103</v>
      </c>
      <c r="E16" s="6">
        <v>19.989999999999998</v>
      </c>
      <c r="F16" s="5">
        <v>94214.015314356235</v>
      </c>
      <c r="G16" s="5">
        <v>33917.045513168247</v>
      </c>
    </row>
    <row r="17" spans="1:7" x14ac:dyDescent="0.25">
      <c r="A17" s="27" t="s">
        <v>24</v>
      </c>
      <c r="B17" s="2" t="s">
        <v>9</v>
      </c>
      <c r="C17" s="2" t="s">
        <v>10</v>
      </c>
      <c r="D17" s="2">
        <v>3050</v>
      </c>
      <c r="E17" s="6">
        <v>129.99</v>
      </c>
      <c r="F17" s="5">
        <v>396469.5</v>
      </c>
      <c r="G17" s="5">
        <v>206164.14</v>
      </c>
    </row>
    <row r="18" spans="1:7" x14ac:dyDescent="0.25">
      <c r="A18" s="27" t="s">
        <v>24</v>
      </c>
      <c r="B18" s="2" t="s">
        <v>9</v>
      </c>
      <c r="C18" s="2" t="s">
        <v>11</v>
      </c>
      <c r="D18" s="2">
        <v>1983</v>
      </c>
      <c r="E18" s="6">
        <v>159.99</v>
      </c>
      <c r="F18" s="5">
        <v>317260.17000000004</v>
      </c>
      <c r="G18" s="5">
        <v>164975.28840000002</v>
      </c>
    </row>
    <row r="19" spans="1:7" x14ac:dyDescent="0.25">
      <c r="A19" s="27" t="s">
        <v>24</v>
      </c>
      <c r="B19" s="2" t="s">
        <v>9</v>
      </c>
      <c r="C19" s="2" t="s">
        <v>12</v>
      </c>
      <c r="D19" s="2">
        <v>3173</v>
      </c>
      <c r="E19" s="6">
        <v>89.99</v>
      </c>
      <c r="F19" s="5">
        <v>285538.26999999996</v>
      </c>
      <c r="G19" s="5">
        <v>148479.90039999998</v>
      </c>
    </row>
    <row r="20" spans="1:7" x14ac:dyDescent="0.25">
      <c r="A20" s="27" t="s">
        <v>24</v>
      </c>
      <c r="B20" s="2" t="s">
        <v>9</v>
      </c>
      <c r="C20" s="2" t="s">
        <v>13</v>
      </c>
      <c r="D20" s="2">
        <v>2974</v>
      </c>
      <c r="E20" s="6">
        <v>79.989999999999995</v>
      </c>
      <c r="F20" s="5">
        <v>237890.25999999998</v>
      </c>
      <c r="G20" s="5">
        <v>123702.93519999999</v>
      </c>
    </row>
    <row r="21" spans="1:7" x14ac:dyDescent="0.25">
      <c r="A21" s="27" t="s">
        <v>24</v>
      </c>
      <c r="B21" s="2" t="s">
        <v>9</v>
      </c>
      <c r="C21" s="2" t="s">
        <v>14</v>
      </c>
      <c r="D21" s="2">
        <v>2531</v>
      </c>
      <c r="E21" s="6">
        <v>229</v>
      </c>
      <c r="F21" s="5">
        <v>579599</v>
      </c>
      <c r="G21" s="5">
        <v>324575.44</v>
      </c>
    </row>
    <row r="22" spans="1:7" x14ac:dyDescent="0.25">
      <c r="A22" s="27" t="s">
        <v>24</v>
      </c>
      <c r="B22" s="2" t="s">
        <v>9</v>
      </c>
      <c r="C22" s="2" t="s">
        <v>15</v>
      </c>
      <c r="D22" s="2">
        <v>3966</v>
      </c>
      <c r="E22" s="6">
        <v>39.99</v>
      </c>
      <c r="F22" s="5">
        <v>158600.34</v>
      </c>
      <c r="G22" s="5">
        <v>82472.176800000001</v>
      </c>
    </row>
    <row r="23" spans="1:7" x14ac:dyDescent="0.25">
      <c r="A23" s="27" t="s">
        <v>24</v>
      </c>
      <c r="B23" s="2" t="s">
        <v>16</v>
      </c>
      <c r="C23" s="2" t="s">
        <v>17</v>
      </c>
      <c r="D23" s="2">
        <v>5696</v>
      </c>
      <c r="E23" s="6">
        <v>29.99</v>
      </c>
      <c r="F23" s="5">
        <v>170823.03999999998</v>
      </c>
      <c r="G23" s="5">
        <v>61496.294399999992</v>
      </c>
    </row>
    <row r="24" spans="1:7" x14ac:dyDescent="0.25">
      <c r="A24" s="27" t="s">
        <v>24</v>
      </c>
      <c r="B24" s="2" t="s">
        <v>16</v>
      </c>
      <c r="C24" s="2" t="s">
        <v>18</v>
      </c>
      <c r="D24" s="2">
        <v>3075</v>
      </c>
      <c r="E24" s="6">
        <v>49.99</v>
      </c>
      <c r="F24" s="5">
        <v>153719.25</v>
      </c>
      <c r="G24" s="5">
        <v>55338.93</v>
      </c>
    </row>
    <row r="25" spans="1:7" x14ac:dyDescent="0.25">
      <c r="A25" s="27" t="s">
        <v>24</v>
      </c>
      <c r="B25" s="2" t="s">
        <v>16</v>
      </c>
      <c r="C25" s="2" t="s">
        <v>19</v>
      </c>
      <c r="D25" s="2">
        <v>3661</v>
      </c>
      <c r="E25" s="6">
        <v>34.99</v>
      </c>
      <c r="F25" s="5">
        <v>128098.39000000001</v>
      </c>
      <c r="G25" s="5">
        <v>46115.420400000003</v>
      </c>
    </row>
    <row r="26" spans="1:7" x14ac:dyDescent="0.25">
      <c r="A26" s="27" t="s">
        <v>24</v>
      </c>
      <c r="B26" s="2" t="s">
        <v>16</v>
      </c>
      <c r="C26" s="2" t="s">
        <v>20</v>
      </c>
      <c r="D26" s="2">
        <v>4101</v>
      </c>
      <c r="E26" s="6">
        <v>24.99</v>
      </c>
      <c r="F26" s="5">
        <v>102483.98999999999</v>
      </c>
      <c r="G26" s="5">
        <v>36894.236399999994</v>
      </c>
    </row>
    <row r="27" spans="1:7" x14ac:dyDescent="0.25">
      <c r="A27" s="27" t="s">
        <v>24</v>
      </c>
      <c r="B27" s="2" t="s">
        <v>16</v>
      </c>
      <c r="C27" s="2" t="s">
        <v>21</v>
      </c>
      <c r="D27" s="2">
        <v>1423</v>
      </c>
      <c r="E27" s="6">
        <v>59.99</v>
      </c>
      <c r="F27" s="5">
        <v>85365.77</v>
      </c>
      <c r="G27" s="5">
        <v>30731.677200000002</v>
      </c>
    </row>
    <row r="28" spans="1:7" x14ac:dyDescent="0.25">
      <c r="A28" s="27" t="s">
        <v>24</v>
      </c>
      <c r="B28" s="2" t="s">
        <v>16</v>
      </c>
      <c r="C28" s="2" t="s">
        <v>22</v>
      </c>
      <c r="D28" s="2">
        <v>9863</v>
      </c>
      <c r="E28" s="6">
        <v>12.99</v>
      </c>
      <c r="F28" s="5">
        <v>128120.37</v>
      </c>
      <c r="G28" s="5">
        <v>46123.333199999994</v>
      </c>
    </row>
    <row r="29" spans="1:7" x14ac:dyDescent="0.25">
      <c r="A29" s="27" t="s">
        <v>24</v>
      </c>
      <c r="B29" s="2" t="s">
        <v>16</v>
      </c>
      <c r="C29" s="2" t="s">
        <v>23</v>
      </c>
      <c r="D29" s="2">
        <v>4273</v>
      </c>
      <c r="E29" s="6">
        <v>19.989999999999998</v>
      </c>
      <c r="F29" s="5">
        <v>85417.26999999999</v>
      </c>
      <c r="G29" s="5">
        <v>30750.217199999996</v>
      </c>
    </row>
    <row r="30" spans="1:7" x14ac:dyDescent="0.25">
      <c r="A30" s="27" t="s">
        <v>25</v>
      </c>
      <c r="B30" s="2" t="s">
        <v>9</v>
      </c>
      <c r="C30" s="2" t="s">
        <v>10</v>
      </c>
      <c r="D30" s="2">
        <v>3454</v>
      </c>
      <c r="E30" s="6">
        <v>129.99</v>
      </c>
      <c r="F30" s="5">
        <v>448985.46</v>
      </c>
      <c r="G30" s="5">
        <v>233472.43920000002</v>
      </c>
    </row>
    <row r="31" spans="1:7" x14ac:dyDescent="0.25">
      <c r="A31" s="27" t="s">
        <v>25</v>
      </c>
      <c r="B31" s="2" t="s">
        <v>9</v>
      </c>
      <c r="C31" s="2" t="s">
        <v>11</v>
      </c>
      <c r="D31" s="2">
        <v>2245</v>
      </c>
      <c r="E31" s="6">
        <v>159.99</v>
      </c>
      <c r="F31" s="5">
        <v>359177.55000000005</v>
      </c>
      <c r="G31" s="5">
        <v>186772.32600000003</v>
      </c>
    </row>
    <row r="32" spans="1:7" x14ac:dyDescent="0.25">
      <c r="A32" s="27" t="s">
        <v>25</v>
      </c>
      <c r="B32" s="2" t="s">
        <v>9</v>
      </c>
      <c r="C32" s="2" t="s">
        <v>12</v>
      </c>
      <c r="D32" s="2">
        <v>3592</v>
      </c>
      <c r="E32" s="6">
        <v>89.99</v>
      </c>
      <c r="F32" s="5">
        <v>323244.07999999996</v>
      </c>
      <c r="G32" s="5">
        <v>168086.92159999997</v>
      </c>
    </row>
    <row r="33" spans="1:7" x14ac:dyDescent="0.25">
      <c r="A33" s="27" t="s">
        <v>25</v>
      </c>
      <c r="B33" s="2" t="s">
        <v>9</v>
      </c>
      <c r="C33" s="2" t="s">
        <v>13</v>
      </c>
      <c r="D33" s="2">
        <v>3368</v>
      </c>
      <c r="E33" s="6">
        <v>79.989999999999995</v>
      </c>
      <c r="F33" s="5">
        <v>269406.32</v>
      </c>
      <c r="G33" s="5">
        <v>140091.28640000001</v>
      </c>
    </row>
    <row r="34" spans="1:7" x14ac:dyDescent="0.25">
      <c r="A34" s="27" t="s">
        <v>25</v>
      </c>
      <c r="B34" s="2" t="s">
        <v>9</v>
      </c>
      <c r="C34" s="2" t="s">
        <v>14</v>
      </c>
      <c r="D34" s="2">
        <v>2867</v>
      </c>
      <c r="E34" s="6">
        <v>229</v>
      </c>
      <c r="F34" s="5">
        <v>656543</v>
      </c>
      <c r="G34" s="5">
        <v>367664.08</v>
      </c>
    </row>
    <row r="35" spans="1:7" x14ac:dyDescent="0.25">
      <c r="A35" s="27" t="s">
        <v>25</v>
      </c>
      <c r="B35" s="2" t="s">
        <v>9</v>
      </c>
      <c r="C35" s="2" t="s">
        <v>15</v>
      </c>
      <c r="D35" s="2">
        <v>4491</v>
      </c>
      <c r="E35" s="6">
        <v>39.99</v>
      </c>
      <c r="F35" s="5">
        <v>179595.09</v>
      </c>
      <c r="G35" s="5">
        <v>93389.446800000005</v>
      </c>
    </row>
    <row r="36" spans="1:7" x14ac:dyDescent="0.25">
      <c r="A36" s="27" t="s">
        <v>25</v>
      </c>
      <c r="B36" s="2" t="s">
        <v>16</v>
      </c>
      <c r="C36" s="2" t="s">
        <v>17</v>
      </c>
      <c r="D36" s="2">
        <v>6449</v>
      </c>
      <c r="E36" s="6">
        <v>29.99</v>
      </c>
      <c r="F36" s="5">
        <v>193405.50999999998</v>
      </c>
      <c r="G36" s="5">
        <v>69625.983599999992</v>
      </c>
    </row>
    <row r="37" spans="1:7" x14ac:dyDescent="0.25">
      <c r="A37" s="27" t="s">
        <v>25</v>
      </c>
      <c r="B37" s="2" t="s">
        <v>16</v>
      </c>
      <c r="C37" s="2" t="s">
        <v>18</v>
      </c>
      <c r="D37" s="2">
        <v>3482</v>
      </c>
      <c r="E37" s="6">
        <v>49.99</v>
      </c>
      <c r="F37" s="5">
        <v>174065.18</v>
      </c>
      <c r="G37" s="5">
        <v>62663.464799999994</v>
      </c>
    </row>
    <row r="38" spans="1:7" x14ac:dyDescent="0.25">
      <c r="A38" s="27" t="s">
        <v>25</v>
      </c>
      <c r="B38" s="2" t="s">
        <v>16</v>
      </c>
      <c r="C38" s="2" t="s">
        <v>19</v>
      </c>
      <c r="D38" s="2">
        <v>4146</v>
      </c>
      <c r="E38" s="6">
        <v>34.99</v>
      </c>
      <c r="F38" s="5">
        <v>145068.54</v>
      </c>
      <c r="G38" s="5">
        <v>52224.674400000004</v>
      </c>
    </row>
    <row r="39" spans="1:7" x14ac:dyDescent="0.25">
      <c r="A39" s="27" t="s">
        <v>25</v>
      </c>
      <c r="B39" s="2" t="s">
        <v>16</v>
      </c>
      <c r="C39" s="2" t="s">
        <v>20</v>
      </c>
      <c r="D39" s="2">
        <v>4644</v>
      </c>
      <c r="E39" s="6">
        <v>24.99</v>
      </c>
      <c r="F39" s="5">
        <v>116053.56</v>
      </c>
      <c r="G39" s="5">
        <v>41779.281599999995</v>
      </c>
    </row>
    <row r="40" spans="1:7" x14ac:dyDescent="0.25">
      <c r="A40" s="27" t="s">
        <v>25</v>
      </c>
      <c r="B40" s="2" t="s">
        <v>16</v>
      </c>
      <c r="C40" s="2" t="s">
        <v>21</v>
      </c>
      <c r="D40" s="2">
        <v>1612</v>
      </c>
      <c r="E40" s="6">
        <v>59.99</v>
      </c>
      <c r="F40" s="5">
        <v>96703.88</v>
      </c>
      <c r="G40" s="5">
        <v>34813.396800000002</v>
      </c>
    </row>
    <row r="41" spans="1:7" x14ac:dyDescent="0.25">
      <c r="A41" s="27" t="s">
        <v>25</v>
      </c>
      <c r="B41" s="2" t="s">
        <v>16</v>
      </c>
      <c r="C41" s="2" t="s">
        <v>22</v>
      </c>
      <c r="D41" s="2">
        <v>11168</v>
      </c>
      <c r="E41" s="6">
        <v>12.99</v>
      </c>
      <c r="F41" s="5">
        <v>145072.32000000001</v>
      </c>
      <c r="G41" s="5">
        <v>52226.035199999998</v>
      </c>
    </row>
    <row r="42" spans="1:7" x14ac:dyDescent="0.25">
      <c r="A42" s="27" t="s">
        <v>25</v>
      </c>
      <c r="B42" s="2" t="s">
        <v>16</v>
      </c>
      <c r="C42" s="2" t="s">
        <v>23</v>
      </c>
      <c r="D42" s="2">
        <v>4838</v>
      </c>
      <c r="E42" s="6">
        <v>19.989999999999998</v>
      </c>
      <c r="F42" s="5">
        <v>96711.62</v>
      </c>
      <c r="G42" s="5">
        <v>34816.183199999999</v>
      </c>
    </row>
    <row r="43" spans="1:7" x14ac:dyDescent="0.25">
      <c r="A43" s="28">
        <f t="shared" ref="A43:A55" si="0">DATE(2025,1,1)</f>
        <v>45658</v>
      </c>
      <c r="B43" s="2" t="s">
        <v>9</v>
      </c>
      <c r="C43" s="2" t="s">
        <v>10</v>
      </c>
      <c r="D43" s="2">
        <v>4106</v>
      </c>
      <c r="E43" s="6">
        <v>129.99</v>
      </c>
      <c r="F43" s="5">
        <v>533738.94000000018</v>
      </c>
      <c r="G43" s="5">
        <v>277544.24880000012</v>
      </c>
    </row>
    <row r="44" spans="1:7" x14ac:dyDescent="0.25">
      <c r="A44" s="28">
        <f t="shared" si="0"/>
        <v>45658</v>
      </c>
      <c r="B44" s="2" t="s">
        <v>9</v>
      </c>
      <c r="C44" s="2" t="s">
        <v>11</v>
      </c>
      <c r="D44" s="2">
        <v>2669</v>
      </c>
      <c r="E44" s="6">
        <v>159.99</v>
      </c>
      <c r="F44" s="5">
        <v>427013.31000000011</v>
      </c>
      <c r="G44" s="5">
        <v>222046.92120000007</v>
      </c>
    </row>
    <row r="45" spans="1:7" x14ac:dyDescent="0.25">
      <c r="A45" s="28">
        <f t="shared" si="0"/>
        <v>45658</v>
      </c>
      <c r="B45" s="2" t="s">
        <v>9</v>
      </c>
      <c r="C45" s="2" t="s">
        <v>12</v>
      </c>
      <c r="D45" s="2">
        <v>4270</v>
      </c>
      <c r="E45" s="6">
        <v>89.99</v>
      </c>
      <c r="F45" s="5">
        <v>384257.30000000005</v>
      </c>
      <c r="G45" s="5">
        <v>199813.79600000003</v>
      </c>
    </row>
    <row r="46" spans="1:7" x14ac:dyDescent="0.25">
      <c r="A46" s="28">
        <f t="shared" si="0"/>
        <v>45658</v>
      </c>
      <c r="B46" s="2" t="s">
        <v>9</v>
      </c>
      <c r="C46" s="2" t="s">
        <v>13</v>
      </c>
      <c r="D46" s="2">
        <v>4004</v>
      </c>
      <c r="E46" s="6">
        <v>79.989999999999995</v>
      </c>
      <c r="F46" s="5">
        <v>320279.96000000002</v>
      </c>
      <c r="G46" s="5">
        <v>166545.57920000001</v>
      </c>
    </row>
    <row r="47" spans="1:7" x14ac:dyDescent="0.25">
      <c r="A47" s="28">
        <f t="shared" si="0"/>
        <v>45658</v>
      </c>
      <c r="B47" s="2" t="s">
        <v>9</v>
      </c>
      <c r="C47" s="2" t="s">
        <v>14</v>
      </c>
      <c r="D47" s="2">
        <v>3406</v>
      </c>
      <c r="E47" s="6">
        <v>229</v>
      </c>
      <c r="F47" s="5">
        <v>779974.00000000012</v>
      </c>
      <c r="G47" s="5">
        <v>436785.44000000012</v>
      </c>
    </row>
    <row r="48" spans="1:7" x14ac:dyDescent="0.25">
      <c r="A48" s="28">
        <f t="shared" si="0"/>
        <v>45658</v>
      </c>
      <c r="B48" s="2" t="s">
        <v>9</v>
      </c>
      <c r="C48" s="2" t="s">
        <v>15</v>
      </c>
      <c r="D48" s="2">
        <v>5339</v>
      </c>
      <c r="E48" s="6">
        <v>39.99</v>
      </c>
      <c r="F48" s="5">
        <v>213506.61000000007</v>
      </c>
      <c r="G48" s="5">
        <v>111023.43720000004</v>
      </c>
    </row>
    <row r="49" spans="1:7" x14ac:dyDescent="0.25">
      <c r="A49" s="28">
        <f t="shared" si="0"/>
        <v>45658</v>
      </c>
      <c r="B49" s="2" t="s">
        <v>16</v>
      </c>
      <c r="C49" s="2" t="s">
        <v>17</v>
      </c>
      <c r="D49" s="2">
        <v>7667</v>
      </c>
      <c r="E49" s="6">
        <v>29.99</v>
      </c>
      <c r="F49" s="5">
        <v>229933.33000000005</v>
      </c>
      <c r="G49" s="5">
        <v>82775.998800000016</v>
      </c>
    </row>
    <row r="50" spans="1:7" x14ac:dyDescent="0.25">
      <c r="A50" s="28">
        <f t="shared" si="0"/>
        <v>45658</v>
      </c>
      <c r="B50" s="2" t="s">
        <v>16</v>
      </c>
      <c r="C50" s="2" t="s">
        <v>18</v>
      </c>
      <c r="D50" s="2">
        <v>4139</v>
      </c>
      <c r="E50" s="6">
        <v>49.99</v>
      </c>
      <c r="F50" s="5">
        <v>206908.61000000007</v>
      </c>
      <c r="G50" s="5">
        <v>74487.09960000003</v>
      </c>
    </row>
    <row r="51" spans="1:7" x14ac:dyDescent="0.25">
      <c r="A51" s="28">
        <f t="shared" si="0"/>
        <v>45658</v>
      </c>
      <c r="B51" s="2" t="s">
        <v>16</v>
      </c>
      <c r="C51" s="2" t="s">
        <v>19</v>
      </c>
      <c r="D51" s="2">
        <v>4928</v>
      </c>
      <c r="E51" s="6">
        <v>34.99</v>
      </c>
      <c r="F51" s="5">
        <v>172430.72000000003</v>
      </c>
      <c r="G51" s="5">
        <v>62075.059200000011</v>
      </c>
    </row>
    <row r="52" spans="1:7" x14ac:dyDescent="0.25">
      <c r="A52" s="28">
        <f t="shared" si="0"/>
        <v>45658</v>
      </c>
      <c r="B52" s="2" t="s">
        <v>16</v>
      </c>
      <c r="C52" s="2" t="s">
        <v>20</v>
      </c>
      <c r="D52" s="2">
        <v>5520</v>
      </c>
      <c r="E52" s="6">
        <v>24.99</v>
      </c>
      <c r="F52" s="5">
        <v>137944.80000000002</v>
      </c>
      <c r="G52" s="5">
        <v>49660.128000000004</v>
      </c>
    </row>
    <row r="53" spans="1:7" x14ac:dyDescent="0.25">
      <c r="A53" s="28">
        <f t="shared" si="0"/>
        <v>45658</v>
      </c>
      <c r="B53" s="2" t="s">
        <v>16</v>
      </c>
      <c r="C53" s="2" t="s">
        <v>21</v>
      </c>
      <c r="D53" s="2">
        <v>1916</v>
      </c>
      <c r="E53" s="6">
        <v>59.99</v>
      </c>
      <c r="F53" s="5">
        <v>114940.84000000004</v>
      </c>
      <c r="G53" s="5">
        <v>41378.702400000016</v>
      </c>
    </row>
    <row r="54" spans="1:7" x14ac:dyDescent="0.25">
      <c r="A54" s="28">
        <f t="shared" si="0"/>
        <v>45658</v>
      </c>
      <c r="B54" s="2" t="s">
        <v>16</v>
      </c>
      <c r="C54" s="2" t="s">
        <v>22</v>
      </c>
      <c r="D54" s="2">
        <v>13276</v>
      </c>
      <c r="E54" s="6">
        <v>12.99</v>
      </c>
      <c r="F54" s="5">
        <v>172455.24000000002</v>
      </c>
      <c r="G54" s="5">
        <v>62083.886400000003</v>
      </c>
    </row>
    <row r="55" spans="1:7" x14ac:dyDescent="0.25">
      <c r="A55" s="28">
        <f t="shared" si="0"/>
        <v>45658</v>
      </c>
      <c r="B55" s="2" t="s">
        <v>16</v>
      </c>
      <c r="C55" s="2" t="s">
        <v>23</v>
      </c>
      <c r="D55" s="2">
        <v>5751</v>
      </c>
      <c r="E55" s="6">
        <v>19.989999999999998</v>
      </c>
      <c r="F55" s="5">
        <v>114962.49000000002</v>
      </c>
      <c r="G55" s="5">
        <v>41386.496400000004</v>
      </c>
    </row>
    <row r="56" spans="1:7" x14ac:dyDescent="0.25">
      <c r="A56" s="28">
        <f t="shared" ref="A56:A68" si="1">DATE(2025,2,1)</f>
        <v>45689</v>
      </c>
      <c r="B56" s="2" t="s">
        <v>9</v>
      </c>
      <c r="C56" s="2" t="s">
        <v>10</v>
      </c>
      <c r="D56" s="2">
        <v>4171</v>
      </c>
      <c r="E56" s="6">
        <v>129.99</v>
      </c>
      <c r="F56" s="5">
        <v>542188.29000000015</v>
      </c>
      <c r="G56" s="5">
        <v>281937.91080000007</v>
      </c>
    </row>
    <row r="57" spans="1:7" x14ac:dyDescent="0.25">
      <c r="A57" s="28">
        <f t="shared" si="1"/>
        <v>45689</v>
      </c>
      <c r="B57" s="2" t="s">
        <v>9</v>
      </c>
      <c r="C57" s="2" t="s">
        <v>11</v>
      </c>
      <c r="D57" s="2">
        <v>2711</v>
      </c>
      <c r="E57" s="6">
        <v>159.99</v>
      </c>
      <c r="F57" s="5">
        <v>433732.89000000013</v>
      </c>
      <c r="G57" s="5">
        <v>225541.10280000008</v>
      </c>
    </row>
    <row r="58" spans="1:7" x14ac:dyDescent="0.25">
      <c r="A58" s="28">
        <f t="shared" si="1"/>
        <v>45689</v>
      </c>
      <c r="B58" s="2" t="s">
        <v>9</v>
      </c>
      <c r="C58" s="2" t="s">
        <v>12</v>
      </c>
      <c r="D58" s="2">
        <v>4338</v>
      </c>
      <c r="E58" s="6">
        <v>89.99</v>
      </c>
      <c r="F58" s="5">
        <v>390376.62000000005</v>
      </c>
      <c r="G58" s="5">
        <v>202995.84240000002</v>
      </c>
    </row>
    <row r="59" spans="1:7" x14ac:dyDescent="0.25">
      <c r="A59" s="28">
        <f t="shared" si="1"/>
        <v>45689</v>
      </c>
      <c r="B59" s="2" t="s">
        <v>9</v>
      </c>
      <c r="C59" s="2" t="s">
        <v>13</v>
      </c>
      <c r="D59" s="2">
        <v>4067</v>
      </c>
      <c r="E59" s="6">
        <v>79.989999999999995</v>
      </c>
      <c r="F59" s="5">
        <v>325319.33</v>
      </c>
      <c r="G59" s="5">
        <v>169166.05160000001</v>
      </c>
    </row>
    <row r="60" spans="1:7" x14ac:dyDescent="0.25">
      <c r="A60" s="28">
        <f t="shared" si="1"/>
        <v>45689</v>
      </c>
      <c r="B60" s="2" t="s">
        <v>9</v>
      </c>
      <c r="C60" s="2" t="s">
        <v>14</v>
      </c>
      <c r="D60" s="2">
        <v>3459</v>
      </c>
      <c r="E60" s="6">
        <v>229</v>
      </c>
      <c r="F60" s="5">
        <v>792111.00000000023</v>
      </c>
      <c r="G60" s="5">
        <v>443582.16000000015</v>
      </c>
    </row>
    <row r="61" spans="1:7" x14ac:dyDescent="0.25">
      <c r="A61" s="28">
        <f t="shared" si="1"/>
        <v>45689</v>
      </c>
      <c r="B61" s="2" t="s">
        <v>9</v>
      </c>
      <c r="C61" s="2" t="s">
        <v>15</v>
      </c>
      <c r="D61" s="2">
        <v>5424</v>
      </c>
      <c r="E61" s="6">
        <v>39.99</v>
      </c>
      <c r="F61" s="5">
        <v>216905.76000000007</v>
      </c>
      <c r="G61" s="5">
        <v>112790.99520000003</v>
      </c>
    </row>
    <row r="62" spans="1:7" x14ac:dyDescent="0.25">
      <c r="A62" s="28">
        <f t="shared" si="1"/>
        <v>45689</v>
      </c>
      <c r="B62" s="2" t="s">
        <v>16</v>
      </c>
      <c r="C62" s="2" t="s">
        <v>17</v>
      </c>
      <c r="D62" s="2">
        <v>7789</v>
      </c>
      <c r="E62" s="6">
        <v>29.99</v>
      </c>
      <c r="F62" s="5">
        <v>233592.11000000004</v>
      </c>
      <c r="G62" s="5">
        <v>84093.159600000014</v>
      </c>
    </row>
    <row r="63" spans="1:7" x14ac:dyDescent="0.25">
      <c r="A63" s="28">
        <f t="shared" si="1"/>
        <v>45689</v>
      </c>
      <c r="B63" s="2" t="s">
        <v>16</v>
      </c>
      <c r="C63" s="2" t="s">
        <v>18</v>
      </c>
      <c r="D63" s="2">
        <v>4205</v>
      </c>
      <c r="E63" s="6">
        <v>49.99</v>
      </c>
      <c r="F63" s="5">
        <v>210207.95000000007</v>
      </c>
      <c r="G63" s="5">
        <v>75674.862000000023</v>
      </c>
    </row>
    <row r="64" spans="1:7" x14ac:dyDescent="0.25">
      <c r="A64" s="28">
        <f t="shared" si="1"/>
        <v>45689</v>
      </c>
      <c r="B64" s="2" t="s">
        <v>16</v>
      </c>
      <c r="C64" s="2" t="s">
        <v>19</v>
      </c>
      <c r="D64" s="2">
        <v>5007</v>
      </c>
      <c r="E64" s="6">
        <v>34.99</v>
      </c>
      <c r="F64" s="5">
        <v>175194.93000000005</v>
      </c>
      <c r="G64" s="5">
        <v>63070.174800000015</v>
      </c>
    </row>
    <row r="65" spans="1:7" x14ac:dyDescent="0.25">
      <c r="A65" s="28">
        <f t="shared" si="1"/>
        <v>45689</v>
      </c>
      <c r="B65" s="2" t="s">
        <v>16</v>
      </c>
      <c r="C65" s="2" t="s">
        <v>20</v>
      </c>
      <c r="D65" s="2">
        <v>5608</v>
      </c>
      <c r="E65" s="6">
        <v>24.99</v>
      </c>
      <c r="F65" s="5">
        <v>140143.92000000001</v>
      </c>
      <c r="G65" s="5">
        <v>50451.811200000004</v>
      </c>
    </row>
    <row r="66" spans="1:7" x14ac:dyDescent="0.25">
      <c r="A66" s="28">
        <f t="shared" si="1"/>
        <v>45689</v>
      </c>
      <c r="B66" s="2" t="s">
        <v>16</v>
      </c>
      <c r="C66" s="2" t="s">
        <v>21</v>
      </c>
      <c r="D66" s="2">
        <v>1947</v>
      </c>
      <c r="E66" s="6">
        <v>59.99</v>
      </c>
      <c r="F66" s="5">
        <v>116800.53000000003</v>
      </c>
      <c r="G66" s="5">
        <v>42048.190800000011</v>
      </c>
    </row>
    <row r="67" spans="1:7" x14ac:dyDescent="0.25">
      <c r="A67" s="28">
        <f t="shared" si="1"/>
        <v>45689</v>
      </c>
      <c r="B67" s="2" t="s">
        <v>16</v>
      </c>
      <c r="C67" s="2" t="s">
        <v>22</v>
      </c>
      <c r="D67" s="2">
        <v>13487</v>
      </c>
      <c r="E67" s="6">
        <v>12.99</v>
      </c>
      <c r="F67" s="5">
        <v>175196.13000000003</v>
      </c>
      <c r="G67" s="5">
        <v>63070.606800000009</v>
      </c>
    </row>
    <row r="68" spans="1:7" x14ac:dyDescent="0.25">
      <c r="A68" s="28">
        <f t="shared" si="1"/>
        <v>45689</v>
      </c>
      <c r="B68" s="2" t="s">
        <v>16</v>
      </c>
      <c r="C68" s="2" t="s">
        <v>23</v>
      </c>
      <c r="D68" s="2">
        <v>5843</v>
      </c>
      <c r="E68" s="6">
        <v>19.989999999999998</v>
      </c>
      <c r="F68" s="5">
        <v>116801.57000000002</v>
      </c>
      <c r="G68" s="5">
        <v>42048.565200000005</v>
      </c>
    </row>
    <row r="69" spans="1:7" x14ac:dyDescent="0.25">
      <c r="A69" s="29">
        <f t="shared" ref="A69:A81" si="2">DATE(2025,3,1)</f>
        <v>45717</v>
      </c>
      <c r="B69" s="2" t="s">
        <v>9</v>
      </c>
      <c r="C69" s="2" t="s">
        <v>10</v>
      </c>
      <c r="D69" s="2">
        <v>4672</v>
      </c>
      <c r="E69" s="6">
        <v>129.99</v>
      </c>
      <c r="F69" s="5">
        <v>607313.27999999991</v>
      </c>
      <c r="G69" s="5">
        <v>315802.90559999994</v>
      </c>
    </row>
    <row r="70" spans="1:7" x14ac:dyDescent="0.25">
      <c r="A70" s="29">
        <f t="shared" si="2"/>
        <v>45717</v>
      </c>
      <c r="B70" s="2" t="s">
        <v>9</v>
      </c>
      <c r="C70" s="2" t="s">
        <v>11</v>
      </c>
      <c r="D70" s="2">
        <v>3036</v>
      </c>
      <c r="E70" s="6">
        <v>159.99</v>
      </c>
      <c r="F70" s="5">
        <v>485729.6399999999</v>
      </c>
      <c r="G70" s="5">
        <v>252579.41279999996</v>
      </c>
    </row>
    <row r="71" spans="1:7" x14ac:dyDescent="0.25">
      <c r="A71" s="29">
        <f t="shared" si="2"/>
        <v>45717</v>
      </c>
      <c r="B71" s="2" t="s">
        <v>9</v>
      </c>
      <c r="C71" s="2" t="s">
        <v>12</v>
      </c>
      <c r="D71" s="2">
        <v>4859</v>
      </c>
      <c r="E71" s="6">
        <v>89.99</v>
      </c>
      <c r="F71" s="5">
        <v>437261.40999999986</v>
      </c>
      <c r="G71" s="5">
        <v>227375.93319999994</v>
      </c>
    </row>
    <row r="72" spans="1:7" x14ac:dyDescent="0.25">
      <c r="A72" s="29">
        <f t="shared" si="2"/>
        <v>45717</v>
      </c>
      <c r="B72" s="2" t="s">
        <v>9</v>
      </c>
      <c r="C72" s="2" t="s">
        <v>13</v>
      </c>
      <c r="D72" s="2">
        <v>4555</v>
      </c>
      <c r="E72" s="6">
        <v>79.989999999999995</v>
      </c>
      <c r="F72" s="5">
        <v>364354.4499999999</v>
      </c>
      <c r="G72" s="5">
        <v>189464.31399999995</v>
      </c>
    </row>
    <row r="73" spans="1:7" x14ac:dyDescent="0.25">
      <c r="A73" s="29">
        <f t="shared" si="2"/>
        <v>45717</v>
      </c>
      <c r="B73" s="2" t="s">
        <v>9</v>
      </c>
      <c r="C73" s="2" t="s">
        <v>14</v>
      </c>
      <c r="D73" s="2">
        <v>3874</v>
      </c>
      <c r="E73" s="6">
        <v>229</v>
      </c>
      <c r="F73" s="5">
        <v>887145.99999999977</v>
      </c>
      <c r="G73" s="5">
        <v>496801.75999999989</v>
      </c>
    </row>
    <row r="74" spans="1:7" x14ac:dyDescent="0.25">
      <c r="A74" s="29">
        <f t="shared" si="2"/>
        <v>45717</v>
      </c>
      <c r="B74" s="2" t="s">
        <v>9</v>
      </c>
      <c r="C74" s="2" t="s">
        <v>15</v>
      </c>
      <c r="D74" s="2">
        <v>6074</v>
      </c>
      <c r="E74" s="6">
        <v>39.99</v>
      </c>
      <c r="F74" s="5">
        <v>242899.25999999995</v>
      </c>
      <c r="G74" s="5">
        <v>126307.61519999999</v>
      </c>
    </row>
    <row r="75" spans="1:7" x14ac:dyDescent="0.25">
      <c r="A75" s="29">
        <f t="shared" si="2"/>
        <v>45717</v>
      </c>
      <c r="B75" s="2" t="s">
        <v>16</v>
      </c>
      <c r="C75" s="2" t="s">
        <v>17</v>
      </c>
      <c r="D75" s="2">
        <v>8723</v>
      </c>
      <c r="E75" s="6">
        <v>29.99</v>
      </c>
      <c r="F75" s="5">
        <v>261602.76999999993</v>
      </c>
      <c r="G75" s="5">
        <v>94176.997199999969</v>
      </c>
    </row>
    <row r="76" spans="1:7" x14ac:dyDescent="0.25">
      <c r="A76" s="29">
        <f t="shared" si="2"/>
        <v>45717</v>
      </c>
      <c r="B76" s="2" t="s">
        <v>16</v>
      </c>
      <c r="C76" s="2" t="s">
        <v>18</v>
      </c>
      <c r="D76" s="2">
        <v>4710</v>
      </c>
      <c r="E76" s="6">
        <v>49.99</v>
      </c>
      <c r="F76" s="5">
        <v>235452.89999999997</v>
      </c>
      <c r="G76" s="5">
        <v>84763.04399999998</v>
      </c>
    </row>
    <row r="77" spans="1:7" x14ac:dyDescent="0.25">
      <c r="A77" s="29">
        <f t="shared" si="2"/>
        <v>45717</v>
      </c>
      <c r="B77" s="2" t="s">
        <v>16</v>
      </c>
      <c r="C77" s="2" t="s">
        <v>19</v>
      </c>
      <c r="D77" s="2">
        <v>5607</v>
      </c>
      <c r="E77" s="6">
        <v>34.99</v>
      </c>
      <c r="F77" s="5">
        <v>196188.93</v>
      </c>
      <c r="G77" s="5">
        <v>70628.01479999999</v>
      </c>
    </row>
    <row r="78" spans="1:7" x14ac:dyDescent="0.25">
      <c r="A78" s="29">
        <f t="shared" si="2"/>
        <v>45717</v>
      </c>
      <c r="B78" s="2" t="s">
        <v>16</v>
      </c>
      <c r="C78" s="2" t="s">
        <v>20</v>
      </c>
      <c r="D78" s="2">
        <v>6281</v>
      </c>
      <c r="E78" s="6">
        <v>24.99</v>
      </c>
      <c r="F78" s="5">
        <v>156962.18999999997</v>
      </c>
      <c r="G78" s="5">
        <v>56506.388399999989</v>
      </c>
    </row>
    <row r="79" spans="1:7" x14ac:dyDescent="0.25">
      <c r="A79" s="29">
        <f t="shared" si="2"/>
        <v>45717</v>
      </c>
      <c r="B79" s="2" t="s">
        <v>16</v>
      </c>
      <c r="C79" s="2" t="s">
        <v>21</v>
      </c>
      <c r="D79" s="2">
        <v>2180</v>
      </c>
      <c r="E79" s="6">
        <v>59.99</v>
      </c>
      <c r="F79" s="5">
        <v>130778.19999999997</v>
      </c>
      <c r="G79" s="5">
        <v>47080.151999999987</v>
      </c>
    </row>
    <row r="80" spans="1:7" x14ac:dyDescent="0.25">
      <c r="A80" s="29">
        <f t="shared" si="2"/>
        <v>45717</v>
      </c>
      <c r="B80" s="2" t="s">
        <v>16</v>
      </c>
      <c r="C80" s="2" t="s">
        <v>22</v>
      </c>
      <c r="D80" s="2">
        <v>15105</v>
      </c>
      <c r="E80" s="6">
        <v>12.99</v>
      </c>
      <c r="F80" s="5">
        <v>196213.94999999998</v>
      </c>
      <c r="G80" s="5">
        <v>70637.021999999997</v>
      </c>
    </row>
    <row r="81" spans="1:7" x14ac:dyDescent="0.25">
      <c r="A81" s="29">
        <f t="shared" si="2"/>
        <v>45717</v>
      </c>
      <c r="B81" s="17" t="s">
        <v>16</v>
      </c>
      <c r="C81" s="17" t="s">
        <v>23</v>
      </c>
      <c r="D81" s="17">
        <v>6543</v>
      </c>
      <c r="E81" s="22">
        <v>19.989999999999998</v>
      </c>
      <c r="F81" s="15">
        <v>130794.56999999996</v>
      </c>
      <c r="G81" s="15">
        <v>47086.045199999986</v>
      </c>
    </row>
    <row r="82" spans="1:7" x14ac:dyDescent="0.25">
      <c r="A82" s="30">
        <f t="shared" ref="A82:A94" si="3">DATE(2025,4,1)</f>
        <v>45748</v>
      </c>
      <c r="B82" s="13" t="s">
        <v>9</v>
      </c>
      <c r="C82" s="13" t="s">
        <v>10</v>
      </c>
      <c r="D82" s="13">
        <v>4672</v>
      </c>
      <c r="E82" s="21">
        <f t="shared" ref="E82:E113" si="4">_xlfn.XLOOKUP(C82,$C:$C,$E:$E)</f>
        <v>129.99</v>
      </c>
      <c r="F82" s="11">
        <v>619459.54559999995</v>
      </c>
      <c r="G82" s="11">
        <v>322118.963712</v>
      </c>
    </row>
    <row r="83" spans="1:7" x14ac:dyDescent="0.25">
      <c r="A83" s="30">
        <f t="shared" si="3"/>
        <v>45748</v>
      </c>
      <c r="B83" s="13" t="s">
        <v>9</v>
      </c>
      <c r="C83" s="13" t="s">
        <v>11</v>
      </c>
      <c r="D83" s="13">
        <v>3036</v>
      </c>
      <c r="E83" s="21">
        <f t="shared" si="4"/>
        <v>159.99</v>
      </c>
      <c r="F83" s="11">
        <v>495444.23279999994</v>
      </c>
      <c r="G83" s="11">
        <v>257631.00105599998</v>
      </c>
    </row>
    <row r="84" spans="1:7" x14ac:dyDescent="0.25">
      <c r="A84" s="30">
        <f t="shared" si="3"/>
        <v>45748</v>
      </c>
      <c r="B84" s="13" t="s">
        <v>9</v>
      </c>
      <c r="C84" s="13" t="s">
        <v>12</v>
      </c>
      <c r="D84" s="13">
        <v>4859</v>
      </c>
      <c r="E84" s="21">
        <f t="shared" si="4"/>
        <v>89.99</v>
      </c>
      <c r="F84" s="11">
        <v>446006.63819999987</v>
      </c>
      <c r="G84" s="11">
        <v>231923.45186399994</v>
      </c>
    </row>
    <row r="85" spans="1:7" x14ac:dyDescent="0.25">
      <c r="A85" s="30">
        <f t="shared" si="3"/>
        <v>45748</v>
      </c>
      <c r="B85" s="13" t="s">
        <v>9</v>
      </c>
      <c r="C85" s="13" t="s">
        <v>13</v>
      </c>
      <c r="D85" s="13">
        <v>4555</v>
      </c>
      <c r="E85" s="21">
        <f t="shared" si="4"/>
        <v>79.989999999999995</v>
      </c>
      <c r="F85" s="11">
        <v>371641.53899999987</v>
      </c>
      <c r="G85" s="11">
        <v>193253.60027999996</v>
      </c>
    </row>
    <row r="86" spans="1:7" x14ac:dyDescent="0.25">
      <c r="A86" s="30">
        <f t="shared" si="3"/>
        <v>45748</v>
      </c>
      <c r="B86" s="13" t="s">
        <v>9</v>
      </c>
      <c r="C86" s="13" t="s">
        <v>14</v>
      </c>
      <c r="D86" s="13">
        <v>3874</v>
      </c>
      <c r="E86" s="21">
        <f t="shared" si="4"/>
        <v>229</v>
      </c>
      <c r="F86" s="11">
        <v>904888.91999999981</v>
      </c>
      <c r="G86" s="11">
        <v>506737.79519999993</v>
      </c>
    </row>
    <row r="87" spans="1:7" x14ac:dyDescent="0.25">
      <c r="A87" s="30">
        <f t="shared" si="3"/>
        <v>45748</v>
      </c>
      <c r="B87" s="13" t="s">
        <v>9</v>
      </c>
      <c r="C87" s="13" t="s">
        <v>15</v>
      </c>
      <c r="D87" s="13">
        <v>6074</v>
      </c>
      <c r="E87" s="21">
        <f t="shared" si="4"/>
        <v>39.99</v>
      </c>
      <c r="F87" s="11">
        <v>247757.24519999995</v>
      </c>
      <c r="G87" s="11">
        <v>128833.76750399997</v>
      </c>
    </row>
    <row r="88" spans="1:7" x14ac:dyDescent="0.25">
      <c r="A88" s="30">
        <f t="shared" si="3"/>
        <v>45748</v>
      </c>
      <c r="B88" s="13" t="s">
        <v>16</v>
      </c>
      <c r="C88" s="13" t="s">
        <v>17</v>
      </c>
      <c r="D88" s="13">
        <v>8723</v>
      </c>
      <c r="E88" s="21">
        <f t="shared" si="4"/>
        <v>29.99</v>
      </c>
      <c r="F88" s="11">
        <v>266834.82539999991</v>
      </c>
      <c r="G88" s="11">
        <v>96060.537143999973</v>
      </c>
    </row>
    <row r="89" spans="1:7" x14ac:dyDescent="0.25">
      <c r="A89" s="30">
        <f t="shared" si="3"/>
        <v>45748</v>
      </c>
      <c r="B89" s="13" t="s">
        <v>16</v>
      </c>
      <c r="C89" s="13" t="s">
        <v>18</v>
      </c>
      <c r="D89" s="13">
        <v>4710</v>
      </c>
      <c r="E89" s="21">
        <f t="shared" si="4"/>
        <v>49.99</v>
      </c>
      <c r="F89" s="11">
        <v>240161.95799999998</v>
      </c>
      <c r="G89" s="11">
        <v>86458.304879999996</v>
      </c>
    </row>
    <row r="90" spans="1:7" x14ac:dyDescent="0.25">
      <c r="A90" s="30">
        <f t="shared" si="3"/>
        <v>45748</v>
      </c>
      <c r="B90" s="13" t="s">
        <v>16</v>
      </c>
      <c r="C90" s="13" t="s">
        <v>19</v>
      </c>
      <c r="D90" s="13">
        <v>5607</v>
      </c>
      <c r="E90" s="21">
        <f t="shared" si="4"/>
        <v>34.99</v>
      </c>
      <c r="F90" s="11">
        <v>200112.70859999998</v>
      </c>
      <c r="G90" s="11">
        <v>72040.575095999986</v>
      </c>
    </row>
    <row r="91" spans="1:7" x14ac:dyDescent="0.25">
      <c r="A91" s="30">
        <f t="shared" si="3"/>
        <v>45748</v>
      </c>
      <c r="B91" s="13" t="s">
        <v>16</v>
      </c>
      <c r="C91" s="13" t="s">
        <v>20</v>
      </c>
      <c r="D91" s="13">
        <v>6281</v>
      </c>
      <c r="E91" s="21">
        <f t="shared" si="4"/>
        <v>24.99</v>
      </c>
      <c r="F91" s="11">
        <v>160101.43379999997</v>
      </c>
      <c r="G91" s="11">
        <v>57636.516167999987</v>
      </c>
    </row>
    <row r="92" spans="1:7" x14ac:dyDescent="0.25">
      <c r="A92" s="30">
        <f t="shared" si="3"/>
        <v>45748</v>
      </c>
      <c r="B92" s="13" t="s">
        <v>16</v>
      </c>
      <c r="C92" s="13" t="s">
        <v>21</v>
      </c>
      <c r="D92" s="13">
        <v>2180</v>
      </c>
      <c r="E92" s="21">
        <f t="shared" si="4"/>
        <v>59.99</v>
      </c>
      <c r="F92" s="11">
        <v>133393.76399999997</v>
      </c>
      <c r="G92" s="11">
        <v>48021.755039999989</v>
      </c>
    </row>
    <row r="93" spans="1:7" x14ac:dyDescent="0.25">
      <c r="A93" s="30">
        <f t="shared" si="3"/>
        <v>45748</v>
      </c>
      <c r="B93" s="13" t="s">
        <v>16</v>
      </c>
      <c r="C93" s="13" t="s">
        <v>22</v>
      </c>
      <c r="D93" s="13">
        <v>15105</v>
      </c>
      <c r="E93" s="21">
        <f t="shared" si="4"/>
        <v>12.99</v>
      </c>
      <c r="F93" s="11">
        <v>200138.22899999996</v>
      </c>
      <c r="G93" s="11">
        <v>72049.762439999977</v>
      </c>
    </row>
    <row r="94" spans="1:7" x14ac:dyDescent="0.25">
      <c r="A94" s="30">
        <f t="shared" si="3"/>
        <v>45748</v>
      </c>
      <c r="B94" s="13" t="s">
        <v>16</v>
      </c>
      <c r="C94" s="13" t="s">
        <v>23</v>
      </c>
      <c r="D94" s="13">
        <v>6543</v>
      </c>
      <c r="E94" s="21">
        <f t="shared" si="4"/>
        <v>19.989999999999998</v>
      </c>
      <c r="F94" s="11">
        <v>133410.46139999997</v>
      </c>
      <c r="G94" s="11">
        <v>48027.766103999988</v>
      </c>
    </row>
    <row r="95" spans="1:7" x14ac:dyDescent="0.25">
      <c r="A95" s="30">
        <f t="shared" ref="A95:A107" si="5">DATE(2025,5,1)</f>
        <v>45778</v>
      </c>
      <c r="B95" s="13" t="s">
        <v>9</v>
      </c>
      <c r="C95" s="13" t="s">
        <v>10</v>
      </c>
      <c r="D95" s="13">
        <v>4672</v>
      </c>
      <c r="E95" s="21">
        <f t="shared" si="4"/>
        <v>129.99</v>
      </c>
      <c r="F95" s="11">
        <v>631848.73651199986</v>
      </c>
      <c r="G95" s="11">
        <v>328561.34298623994</v>
      </c>
    </row>
    <row r="96" spans="1:7" x14ac:dyDescent="0.25">
      <c r="A96" s="30">
        <f t="shared" si="5"/>
        <v>45778</v>
      </c>
      <c r="B96" s="13" t="s">
        <v>9</v>
      </c>
      <c r="C96" s="13" t="s">
        <v>11</v>
      </c>
      <c r="D96" s="13">
        <v>3036</v>
      </c>
      <c r="E96" s="21">
        <f t="shared" si="4"/>
        <v>159.99</v>
      </c>
      <c r="F96" s="11">
        <v>505353.11745599989</v>
      </c>
      <c r="G96" s="11">
        <v>262783.62107711995</v>
      </c>
    </row>
    <row r="97" spans="1:7" x14ac:dyDescent="0.25">
      <c r="A97" s="30">
        <f t="shared" si="5"/>
        <v>45778</v>
      </c>
      <c r="B97" s="13" t="s">
        <v>9</v>
      </c>
      <c r="C97" s="13" t="s">
        <v>12</v>
      </c>
      <c r="D97" s="13">
        <v>4859</v>
      </c>
      <c r="E97" s="21">
        <f t="shared" si="4"/>
        <v>89.99</v>
      </c>
      <c r="F97" s="11">
        <v>454926.77096399985</v>
      </c>
      <c r="G97" s="11">
        <v>236561.92090127993</v>
      </c>
    </row>
    <row r="98" spans="1:7" x14ac:dyDescent="0.25">
      <c r="A98" s="30">
        <f t="shared" si="5"/>
        <v>45778</v>
      </c>
      <c r="B98" s="13" t="s">
        <v>9</v>
      </c>
      <c r="C98" s="13" t="s">
        <v>13</v>
      </c>
      <c r="D98" s="13">
        <v>4555</v>
      </c>
      <c r="E98" s="21">
        <f t="shared" si="4"/>
        <v>79.989999999999995</v>
      </c>
      <c r="F98" s="11">
        <v>379074.36977999989</v>
      </c>
      <c r="G98" s="11">
        <v>197118.67228559995</v>
      </c>
    </row>
    <row r="99" spans="1:7" x14ac:dyDescent="0.25">
      <c r="A99" s="30">
        <f t="shared" si="5"/>
        <v>45778</v>
      </c>
      <c r="B99" s="13" t="s">
        <v>9</v>
      </c>
      <c r="C99" s="13" t="s">
        <v>14</v>
      </c>
      <c r="D99" s="13">
        <v>3874</v>
      </c>
      <c r="E99" s="21">
        <f t="shared" si="4"/>
        <v>229</v>
      </c>
      <c r="F99" s="11">
        <v>922986.69839999976</v>
      </c>
      <c r="G99" s="11">
        <v>516872.5511039999</v>
      </c>
    </row>
    <row r="100" spans="1:7" x14ac:dyDescent="0.25">
      <c r="A100" s="30">
        <f t="shared" si="5"/>
        <v>45778</v>
      </c>
      <c r="B100" s="13" t="s">
        <v>9</v>
      </c>
      <c r="C100" s="13" t="s">
        <v>15</v>
      </c>
      <c r="D100" s="13">
        <v>6074</v>
      </c>
      <c r="E100" s="21">
        <f t="shared" si="4"/>
        <v>39.99</v>
      </c>
      <c r="F100" s="11">
        <v>252712.39010399996</v>
      </c>
      <c r="G100" s="11">
        <v>131410.44285407997</v>
      </c>
    </row>
    <row r="101" spans="1:7" x14ac:dyDescent="0.25">
      <c r="A101" s="30">
        <f t="shared" si="5"/>
        <v>45778</v>
      </c>
      <c r="B101" s="13" t="s">
        <v>16</v>
      </c>
      <c r="C101" s="13" t="s">
        <v>17</v>
      </c>
      <c r="D101" s="13">
        <v>8723</v>
      </c>
      <c r="E101" s="21">
        <f t="shared" si="4"/>
        <v>29.99</v>
      </c>
      <c r="F101" s="11">
        <v>272171.52190799994</v>
      </c>
      <c r="G101" s="11">
        <v>97981.747886879981</v>
      </c>
    </row>
    <row r="102" spans="1:7" x14ac:dyDescent="0.25">
      <c r="A102" s="30">
        <f t="shared" si="5"/>
        <v>45778</v>
      </c>
      <c r="B102" s="13" t="s">
        <v>16</v>
      </c>
      <c r="C102" s="13" t="s">
        <v>18</v>
      </c>
      <c r="D102" s="13">
        <v>4710</v>
      </c>
      <c r="E102" s="21">
        <f t="shared" si="4"/>
        <v>49.99</v>
      </c>
      <c r="F102" s="11">
        <v>244965.19715999998</v>
      </c>
      <c r="G102" s="11">
        <v>88187.470977599995</v>
      </c>
    </row>
    <row r="103" spans="1:7" x14ac:dyDescent="0.25">
      <c r="A103" s="30">
        <f t="shared" si="5"/>
        <v>45778</v>
      </c>
      <c r="B103" s="13" t="s">
        <v>16</v>
      </c>
      <c r="C103" s="13" t="s">
        <v>19</v>
      </c>
      <c r="D103" s="13">
        <v>5607</v>
      </c>
      <c r="E103" s="21">
        <f t="shared" si="4"/>
        <v>34.99</v>
      </c>
      <c r="F103" s="11">
        <v>204114.96277199997</v>
      </c>
      <c r="G103" s="11">
        <v>73481.386597919991</v>
      </c>
    </row>
    <row r="104" spans="1:7" x14ac:dyDescent="0.25">
      <c r="A104" s="30">
        <f t="shared" si="5"/>
        <v>45778</v>
      </c>
      <c r="B104" s="13" t="s">
        <v>16</v>
      </c>
      <c r="C104" s="13" t="s">
        <v>20</v>
      </c>
      <c r="D104" s="13">
        <v>6281</v>
      </c>
      <c r="E104" s="21">
        <f t="shared" si="4"/>
        <v>24.99</v>
      </c>
      <c r="F104" s="11">
        <v>163303.46247599996</v>
      </c>
      <c r="G104" s="11">
        <v>58789.246491359983</v>
      </c>
    </row>
    <row r="105" spans="1:7" x14ac:dyDescent="0.25">
      <c r="A105" s="30">
        <f t="shared" si="5"/>
        <v>45778</v>
      </c>
      <c r="B105" s="13" t="s">
        <v>16</v>
      </c>
      <c r="C105" s="13" t="s">
        <v>21</v>
      </c>
      <c r="D105" s="13">
        <v>2180</v>
      </c>
      <c r="E105" s="21">
        <f t="shared" si="4"/>
        <v>59.99</v>
      </c>
      <c r="F105" s="11">
        <v>136061.63927999997</v>
      </c>
      <c r="G105" s="11">
        <v>48982.19014079999</v>
      </c>
    </row>
    <row r="106" spans="1:7" x14ac:dyDescent="0.25">
      <c r="A106" s="30">
        <f t="shared" si="5"/>
        <v>45778</v>
      </c>
      <c r="B106" s="13" t="s">
        <v>16</v>
      </c>
      <c r="C106" s="13" t="s">
        <v>22</v>
      </c>
      <c r="D106" s="13">
        <v>15105</v>
      </c>
      <c r="E106" s="21">
        <f t="shared" si="4"/>
        <v>12.99</v>
      </c>
      <c r="F106" s="11">
        <v>204140.99357999998</v>
      </c>
      <c r="G106" s="11">
        <v>73490.757688799989</v>
      </c>
    </row>
    <row r="107" spans="1:7" x14ac:dyDescent="0.25">
      <c r="A107" s="30">
        <f t="shared" si="5"/>
        <v>45778</v>
      </c>
      <c r="B107" s="13" t="s">
        <v>16</v>
      </c>
      <c r="C107" s="13" t="s">
        <v>23</v>
      </c>
      <c r="D107" s="13">
        <v>6543</v>
      </c>
      <c r="E107" s="21">
        <f t="shared" si="4"/>
        <v>19.989999999999998</v>
      </c>
      <c r="F107" s="11">
        <v>136078.67062799996</v>
      </c>
      <c r="G107" s="11">
        <v>48988.321426079987</v>
      </c>
    </row>
    <row r="108" spans="1:7" x14ac:dyDescent="0.25">
      <c r="A108" s="30">
        <f t="shared" ref="A108:A120" si="6">DATE(2025,6,1)</f>
        <v>45809</v>
      </c>
      <c r="B108" s="13" t="s">
        <v>9</v>
      </c>
      <c r="C108" s="13" t="s">
        <v>10</v>
      </c>
      <c r="D108" s="13">
        <v>4672</v>
      </c>
      <c r="E108" s="21">
        <f t="shared" si="4"/>
        <v>129.99</v>
      </c>
      <c r="F108" s="11">
        <v>644485.71124223981</v>
      </c>
      <c r="G108" s="11">
        <v>335132.56984596472</v>
      </c>
    </row>
    <row r="109" spans="1:7" x14ac:dyDescent="0.25">
      <c r="A109" s="30">
        <f t="shared" si="6"/>
        <v>45809</v>
      </c>
      <c r="B109" s="13" t="s">
        <v>9</v>
      </c>
      <c r="C109" s="13" t="s">
        <v>11</v>
      </c>
      <c r="D109" s="13">
        <v>3036</v>
      </c>
      <c r="E109" s="21">
        <f t="shared" si="4"/>
        <v>159.99</v>
      </c>
      <c r="F109" s="11">
        <v>515460.17980511987</v>
      </c>
      <c r="G109" s="11">
        <v>268039.29349866236</v>
      </c>
    </row>
    <row r="110" spans="1:7" x14ac:dyDescent="0.25">
      <c r="A110" s="30">
        <f t="shared" si="6"/>
        <v>45809</v>
      </c>
      <c r="B110" s="13" t="s">
        <v>9</v>
      </c>
      <c r="C110" s="13" t="s">
        <v>12</v>
      </c>
      <c r="D110" s="13">
        <v>4859</v>
      </c>
      <c r="E110" s="21">
        <f t="shared" si="4"/>
        <v>89.99</v>
      </c>
      <c r="F110" s="11">
        <v>464025.30638327985</v>
      </c>
      <c r="G110" s="11">
        <v>241293.15931930553</v>
      </c>
    </row>
    <row r="111" spans="1:7" x14ac:dyDescent="0.25">
      <c r="A111" s="30">
        <f t="shared" si="6"/>
        <v>45809</v>
      </c>
      <c r="B111" s="13" t="s">
        <v>9</v>
      </c>
      <c r="C111" s="13" t="s">
        <v>13</v>
      </c>
      <c r="D111" s="13">
        <v>4555</v>
      </c>
      <c r="E111" s="21">
        <f t="shared" si="4"/>
        <v>79.989999999999995</v>
      </c>
      <c r="F111" s="11">
        <v>386655.85717559984</v>
      </c>
      <c r="G111" s="11">
        <v>201061.04573131193</v>
      </c>
    </row>
    <row r="112" spans="1:7" x14ac:dyDescent="0.25">
      <c r="A112" s="30">
        <f t="shared" si="6"/>
        <v>45809</v>
      </c>
      <c r="B112" s="13" t="s">
        <v>9</v>
      </c>
      <c r="C112" s="13" t="s">
        <v>14</v>
      </c>
      <c r="D112" s="13">
        <v>3874</v>
      </c>
      <c r="E112" s="21">
        <f t="shared" si="4"/>
        <v>229</v>
      </c>
      <c r="F112" s="11">
        <v>941446.43236799969</v>
      </c>
      <c r="G112" s="11">
        <v>527210.00212607987</v>
      </c>
    </row>
    <row r="113" spans="1:7" x14ac:dyDescent="0.25">
      <c r="A113" s="30">
        <f t="shared" si="6"/>
        <v>45809</v>
      </c>
      <c r="B113" s="13" t="s">
        <v>9</v>
      </c>
      <c r="C113" s="13" t="s">
        <v>15</v>
      </c>
      <c r="D113" s="13">
        <v>6074</v>
      </c>
      <c r="E113" s="21">
        <f t="shared" si="4"/>
        <v>39.99</v>
      </c>
      <c r="F113" s="11">
        <v>257766.63790607994</v>
      </c>
      <c r="G113" s="11">
        <v>134038.65171116157</v>
      </c>
    </row>
    <row r="114" spans="1:7" x14ac:dyDescent="0.25">
      <c r="A114" s="30">
        <f t="shared" si="6"/>
        <v>45809</v>
      </c>
      <c r="B114" s="13" t="s">
        <v>16</v>
      </c>
      <c r="C114" s="13" t="s">
        <v>17</v>
      </c>
      <c r="D114" s="13">
        <v>8723</v>
      </c>
      <c r="E114" s="21">
        <f t="shared" ref="E114:E145" si="7">_xlfn.XLOOKUP(C114,$C:$C,$E:$E)</f>
        <v>29.99</v>
      </c>
      <c r="F114" s="11">
        <v>277614.9523461599</v>
      </c>
      <c r="G114" s="11">
        <v>99941.382844617561</v>
      </c>
    </row>
    <row r="115" spans="1:7" x14ac:dyDescent="0.25">
      <c r="A115" s="30">
        <f t="shared" si="6"/>
        <v>45809</v>
      </c>
      <c r="B115" s="13" t="s">
        <v>16</v>
      </c>
      <c r="C115" s="13" t="s">
        <v>18</v>
      </c>
      <c r="D115" s="13">
        <v>4710</v>
      </c>
      <c r="E115" s="21">
        <f t="shared" si="7"/>
        <v>49.99</v>
      </c>
      <c r="F115" s="11">
        <v>249864.50110319996</v>
      </c>
      <c r="G115" s="11">
        <v>89951.220397151978</v>
      </c>
    </row>
    <row r="116" spans="1:7" x14ac:dyDescent="0.25">
      <c r="A116" s="30">
        <f t="shared" si="6"/>
        <v>45809</v>
      </c>
      <c r="B116" s="13" t="s">
        <v>16</v>
      </c>
      <c r="C116" s="13" t="s">
        <v>19</v>
      </c>
      <c r="D116" s="13">
        <v>5607</v>
      </c>
      <c r="E116" s="21">
        <f t="shared" si="7"/>
        <v>34.99</v>
      </c>
      <c r="F116" s="11">
        <v>208197.26202743995</v>
      </c>
      <c r="G116" s="11">
        <v>74951.014329878381</v>
      </c>
    </row>
    <row r="117" spans="1:7" x14ac:dyDescent="0.25">
      <c r="A117" s="30">
        <f t="shared" si="6"/>
        <v>45809</v>
      </c>
      <c r="B117" s="13" t="s">
        <v>16</v>
      </c>
      <c r="C117" s="13" t="s">
        <v>20</v>
      </c>
      <c r="D117" s="13">
        <v>6281</v>
      </c>
      <c r="E117" s="21">
        <f t="shared" si="7"/>
        <v>24.99</v>
      </c>
      <c r="F117" s="11">
        <v>166569.53172551995</v>
      </c>
      <c r="G117" s="11">
        <v>59965.031421187181</v>
      </c>
    </row>
    <row r="118" spans="1:7" x14ac:dyDescent="0.25">
      <c r="A118" s="30">
        <f t="shared" si="6"/>
        <v>45809</v>
      </c>
      <c r="B118" s="13" t="s">
        <v>16</v>
      </c>
      <c r="C118" s="13" t="s">
        <v>21</v>
      </c>
      <c r="D118" s="13">
        <v>2180</v>
      </c>
      <c r="E118" s="21">
        <f t="shared" si="7"/>
        <v>59.99</v>
      </c>
      <c r="F118" s="11">
        <v>138782.87206559995</v>
      </c>
      <c r="G118" s="11">
        <v>49961.83394361598</v>
      </c>
    </row>
    <row r="119" spans="1:7" x14ac:dyDescent="0.25">
      <c r="A119" s="30">
        <f t="shared" si="6"/>
        <v>45809</v>
      </c>
      <c r="B119" s="13" t="s">
        <v>16</v>
      </c>
      <c r="C119" s="13" t="s">
        <v>22</v>
      </c>
      <c r="D119" s="13">
        <v>15105</v>
      </c>
      <c r="E119" s="21">
        <f t="shared" si="7"/>
        <v>12.99</v>
      </c>
      <c r="F119" s="11">
        <v>208223.81345159994</v>
      </c>
      <c r="G119" s="11">
        <v>74960.572842575973</v>
      </c>
    </row>
    <row r="120" spans="1:7" x14ac:dyDescent="0.25">
      <c r="A120" s="30">
        <f t="shared" si="6"/>
        <v>45809</v>
      </c>
      <c r="B120" s="13" t="s">
        <v>16</v>
      </c>
      <c r="C120" s="13" t="s">
        <v>23</v>
      </c>
      <c r="D120" s="13">
        <v>6543</v>
      </c>
      <c r="E120" s="21">
        <f t="shared" si="7"/>
        <v>19.989999999999998</v>
      </c>
      <c r="F120" s="11">
        <v>138800.24404055995</v>
      </c>
      <c r="G120" s="11">
        <v>49968.087854601581</v>
      </c>
    </row>
    <row r="121" spans="1:7" x14ac:dyDescent="0.25">
      <c r="A121" s="30">
        <f t="shared" ref="A121:A133" si="8">DATE(2025,7,1)</f>
        <v>45839</v>
      </c>
      <c r="B121" s="13" t="s">
        <v>9</v>
      </c>
      <c r="C121" s="13" t="s">
        <v>10</v>
      </c>
      <c r="D121" s="13">
        <v>4672</v>
      </c>
      <c r="E121" s="21">
        <f t="shared" si="7"/>
        <v>129.99</v>
      </c>
      <c r="F121" s="11">
        <v>657375.42546708498</v>
      </c>
      <c r="G121" s="11">
        <v>341835.22124288417</v>
      </c>
    </row>
    <row r="122" spans="1:7" x14ac:dyDescent="0.25">
      <c r="A122" s="30">
        <f t="shared" si="8"/>
        <v>45839</v>
      </c>
      <c r="B122" s="13" t="s">
        <v>9</v>
      </c>
      <c r="C122" s="13" t="s">
        <v>11</v>
      </c>
      <c r="D122" s="13">
        <v>3036</v>
      </c>
      <c r="E122" s="21">
        <f t="shared" si="7"/>
        <v>159.99</v>
      </c>
      <c r="F122" s="11">
        <v>525769.38340122253</v>
      </c>
      <c r="G122" s="11">
        <v>273400.07936863572</v>
      </c>
    </row>
    <row r="123" spans="1:7" x14ac:dyDescent="0.25">
      <c r="A123" s="30">
        <f t="shared" si="8"/>
        <v>45839</v>
      </c>
      <c r="B123" s="13" t="s">
        <v>9</v>
      </c>
      <c r="C123" s="13" t="s">
        <v>12</v>
      </c>
      <c r="D123" s="13">
        <v>4859</v>
      </c>
      <c r="E123" s="21">
        <f t="shared" si="7"/>
        <v>89.99</v>
      </c>
      <c r="F123" s="11">
        <v>473305.81251094566</v>
      </c>
      <c r="G123" s="11">
        <v>246119.02250569174</v>
      </c>
    </row>
    <row r="124" spans="1:7" x14ac:dyDescent="0.25">
      <c r="A124" s="30">
        <f t="shared" si="8"/>
        <v>45839</v>
      </c>
      <c r="B124" s="13" t="s">
        <v>9</v>
      </c>
      <c r="C124" s="13" t="s">
        <v>13</v>
      </c>
      <c r="D124" s="13">
        <v>4555</v>
      </c>
      <c r="E124" s="21">
        <f t="shared" si="7"/>
        <v>79.989999999999995</v>
      </c>
      <c r="F124" s="11">
        <v>394388.97431911202</v>
      </c>
      <c r="G124" s="11">
        <v>205082.26664593825</v>
      </c>
    </row>
    <row r="125" spans="1:7" x14ac:dyDescent="0.25">
      <c r="A125" s="30">
        <f t="shared" si="8"/>
        <v>45839</v>
      </c>
      <c r="B125" s="13" t="s">
        <v>9</v>
      </c>
      <c r="C125" s="13" t="s">
        <v>14</v>
      </c>
      <c r="D125" s="13">
        <v>3874</v>
      </c>
      <c r="E125" s="21">
        <f t="shared" si="7"/>
        <v>229</v>
      </c>
      <c r="F125" s="11">
        <v>960275.36101536022</v>
      </c>
      <c r="G125" s="11">
        <v>537754.2021686018</v>
      </c>
    </row>
    <row r="126" spans="1:7" x14ac:dyDescent="0.25">
      <c r="A126" s="30">
        <f t="shared" si="8"/>
        <v>45839</v>
      </c>
      <c r="B126" s="13" t="s">
        <v>9</v>
      </c>
      <c r="C126" s="13" t="s">
        <v>15</v>
      </c>
      <c r="D126" s="13">
        <v>6074</v>
      </c>
      <c r="E126" s="21">
        <f t="shared" si="7"/>
        <v>39.99</v>
      </c>
      <c r="F126" s="11">
        <v>262921.97066420165</v>
      </c>
      <c r="G126" s="11">
        <v>136719.42474538487</v>
      </c>
    </row>
    <row r="127" spans="1:7" x14ac:dyDescent="0.25">
      <c r="A127" s="30">
        <f t="shared" si="8"/>
        <v>45839</v>
      </c>
      <c r="B127" s="13" t="s">
        <v>16</v>
      </c>
      <c r="C127" s="13" t="s">
        <v>17</v>
      </c>
      <c r="D127" s="13">
        <v>8723</v>
      </c>
      <c r="E127" s="21">
        <f t="shared" si="7"/>
        <v>29.99</v>
      </c>
      <c r="F127" s="11">
        <v>283167.25139308325</v>
      </c>
      <c r="G127" s="11">
        <v>101940.21050150997</v>
      </c>
    </row>
    <row r="128" spans="1:7" x14ac:dyDescent="0.25">
      <c r="A128" s="30">
        <f t="shared" si="8"/>
        <v>45839</v>
      </c>
      <c r="B128" s="13" t="s">
        <v>16</v>
      </c>
      <c r="C128" s="13" t="s">
        <v>18</v>
      </c>
      <c r="D128" s="13">
        <v>4710</v>
      </c>
      <c r="E128" s="21">
        <f t="shared" si="7"/>
        <v>49.99</v>
      </c>
      <c r="F128" s="11">
        <v>254861.79112526408</v>
      </c>
      <c r="G128" s="11">
        <v>91750.244805095062</v>
      </c>
    </row>
    <row r="129" spans="1:7" x14ac:dyDescent="0.25">
      <c r="A129" s="30">
        <f t="shared" si="8"/>
        <v>45839</v>
      </c>
      <c r="B129" s="13" t="s">
        <v>16</v>
      </c>
      <c r="C129" s="13" t="s">
        <v>19</v>
      </c>
      <c r="D129" s="13">
        <v>5607</v>
      </c>
      <c r="E129" s="21">
        <f t="shared" si="7"/>
        <v>34.99</v>
      </c>
      <c r="F129" s="11">
        <v>212361.20726798885</v>
      </c>
      <c r="G129" s="11">
        <v>76450.034616475983</v>
      </c>
    </row>
    <row r="130" spans="1:7" x14ac:dyDescent="0.25">
      <c r="A130" s="30">
        <f t="shared" si="8"/>
        <v>45839</v>
      </c>
      <c r="B130" s="13" t="s">
        <v>16</v>
      </c>
      <c r="C130" s="13" t="s">
        <v>20</v>
      </c>
      <c r="D130" s="13">
        <v>6281</v>
      </c>
      <c r="E130" s="21">
        <f t="shared" si="7"/>
        <v>24.99</v>
      </c>
      <c r="F130" s="11">
        <v>169900.92236003044</v>
      </c>
      <c r="G130" s="11">
        <v>61164.332049610959</v>
      </c>
    </row>
    <row r="131" spans="1:7" x14ac:dyDescent="0.25">
      <c r="A131" s="30">
        <f t="shared" si="8"/>
        <v>45839</v>
      </c>
      <c r="B131" s="13" t="s">
        <v>16</v>
      </c>
      <c r="C131" s="13" t="s">
        <v>21</v>
      </c>
      <c r="D131" s="13">
        <v>2180</v>
      </c>
      <c r="E131" s="21">
        <f t="shared" si="7"/>
        <v>59.99</v>
      </c>
      <c r="F131" s="11">
        <v>141558.52950691202</v>
      </c>
      <c r="G131" s="11">
        <v>50961.070622488325</v>
      </c>
    </row>
    <row r="132" spans="1:7" x14ac:dyDescent="0.25">
      <c r="A132" s="30">
        <f t="shared" si="8"/>
        <v>45839</v>
      </c>
      <c r="B132" s="13" t="s">
        <v>16</v>
      </c>
      <c r="C132" s="13" t="s">
        <v>22</v>
      </c>
      <c r="D132" s="13">
        <v>15105</v>
      </c>
      <c r="E132" s="21">
        <f t="shared" si="7"/>
        <v>12.99</v>
      </c>
      <c r="F132" s="11">
        <v>212388.28972063205</v>
      </c>
      <c r="G132" s="11">
        <v>76459.784299427542</v>
      </c>
    </row>
    <row r="133" spans="1:7" x14ac:dyDescent="0.25">
      <c r="A133" s="30">
        <f t="shared" si="8"/>
        <v>45839</v>
      </c>
      <c r="B133" s="13" t="s">
        <v>16</v>
      </c>
      <c r="C133" s="13" t="s">
        <v>23</v>
      </c>
      <c r="D133" s="13">
        <v>6543</v>
      </c>
      <c r="E133" s="21">
        <f t="shared" si="7"/>
        <v>19.989999999999998</v>
      </c>
      <c r="F133" s="11">
        <v>141576.24892137121</v>
      </c>
      <c r="G133" s="11">
        <v>50967.449611693635</v>
      </c>
    </row>
    <row r="134" spans="1:7" x14ac:dyDescent="0.25">
      <c r="A134" s="30">
        <f t="shared" ref="A134:A146" si="9">DATE(2025,8,1)</f>
        <v>45870</v>
      </c>
      <c r="B134" s="13" t="s">
        <v>9</v>
      </c>
      <c r="C134" s="13" t="s">
        <v>10</v>
      </c>
      <c r="D134" s="13">
        <v>4672</v>
      </c>
      <c r="E134" s="21">
        <f t="shared" si="7"/>
        <v>129.99</v>
      </c>
      <c r="F134" s="11">
        <v>670522.93397642614</v>
      </c>
      <c r="G134" s="11">
        <v>348671.92566774163</v>
      </c>
    </row>
    <row r="135" spans="1:7" x14ac:dyDescent="0.25">
      <c r="A135" s="30">
        <f t="shared" si="9"/>
        <v>45870</v>
      </c>
      <c r="B135" s="13" t="s">
        <v>9</v>
      </c>
      <c r="C135" s="13" t="s">
        <v>11</v>
      </c>
      <c r="D135" s="13">
        <v>3036</v>
      </c>
      <c r="E135" s="21">
        <f t="shared" si="7"/>
        <v>159.99</v>
      </c>
      <c r="F135" s="11">
        <v>536284.77106924658</v>
      </c>
      <c r="G135" s="11">
        <v>278868.08095600823</v>
      </c>
    </row>
    <row r="136" spans="1:7" x14ac:dyDescent="0.25">
      <c r="A136" s="30">
        <f t="shared" si="9"/>
        <v>45870</v>
      </c>
      <c r="B136" s="13" t="s">
        <v>9</v>
      </c>
      <c r="C136" s="13" t="s">
        <v>12</v>
      </c>
      <c r="D136" s="13">
        <v>4859</v>
      </c>
      <c r="E136" s="21">
        <f t="shared" si="7"/>
        <v>89.99</v>
      </c>
      <c r="F136" s="11">
        <v>482771.92876116419</v>
      </c>
      <c r="G136" s="11">
        <v>251041.40295580539</v>
      </c>
    </row>
    <row r="137" spans="1:7" x14ac:dyDescent="0.25">
      <c r="A137" s="30">
        <f t="shared" si="9"/>
        <v>45870</v>
      </c>
      <c r="B137" s="13" t="s">
        <v>9</v>
      </c>
      <c r="C137" s="13" t="s">
        <v>13</v>
      </c>
      <c r="D137" s="13">
        <v>4555</v>
      </c>
      <c r="E137" s="21">
        <f t="shared" si="7"/>
        <v>79.989999999999995</v>
      </c>
      <c r="F137" s="11">
        <v>402276.75380549394</v>
      </c>
      <c r="G137" s="11">
        <v>209183.91197885686</v>
      </c>
    </row>
    <row r="138" spans="1:7" x14ac:dyDescent="0.25">
      <c r="A138" s="30">
        <f t="shared" si="9"/>
        <v>45870</v>
      </c>
      <c r="B138" s="13" t="s">
        <v>9</v>
      </c>
      <c r="C138" s="13" t="s">
        <v>14</v>
      </c>
      <c r="D138" s="13">
        <v>3874</v>
      </c>
      <c r="E138" s="21">
        <f t="shared" si="7"/>
        <v>229</v>
      </c>
      <c r="F138" s="11">
        <v>979480.86823566665</v>
      </c>
      <c r="G138" s="11">
        <v>548509.28621197341</v>
      </c>
    </row>
    <row r="139" spans="1:7" x14ac:dyDescent="0.25">
      <c r="A139" s="30">
        <f t="shared" si="9"/>
        <v>45870</v>
      </c>
      <c r="B139" s="13" t="s">
        <v>9</v>
      </c>
      <c r="C139" s="13" t="s">
        <v>15</v>
      </c>
      <c r="D139" s="13">
        <v>6074</v>
      </c>
      <c r="E139" s="21">
        <f t="shared" si="7"/>
        <v>39.99</v>
      </c>
      <c r="F139" s="11">
        <v>268180.41007748549</v>
      </c>
      <c r="G139" s="11">
        <v>139453.81324029245</v>
      </c>
    </row>
    <row r="140" spans="1:7" x14ac:dyDescent="0.25">
      <c r="A140" s="30">
        <f t="shared" si="9"/>
        <v>45870</v>
      </c>
      <c r="B140" s="13" t="s">
        <v>16</v>
      </c>
      <c r="C140" s="13" t="s">
        <v>17</v>
      </c>
      <c r="D140" s="13">
        <v>8723</v>
      </c>
      <c r="E140" s="21">
        <f t="shared" si="7"/>
        <v>29.99</v>
      </c>
      <c r="F140" s="11">
        <v>288830.59642094467</v>
      </c>
      <c r="G140" s="11">
        <v>103979.01471154008</v>
      </c>
    </row>
    <row r="141" spans="1:7" x14ac:dyDescent="0.25">
      <c r="A141" s="30">
        <f t="shared" si="9"/>
        <v>45870</v>
      </c>
      <c r="B141" s="13" t="s">
        <v>16</v>
      </c>
      <c r="C141" s="13" t="s">
        <v>18</v>
      </c>
      <c r="D141" s="13">
        <v>4710</v>
      </c>
      <c r="E141" s="21">
        <f t="shared" si="7"/>
        <v>49.99</v>
      </c>
      <c r="F141" s="11">
        <v>259959.02694776916</v>
      </c>
      <c r="G141" s="11">
        <v>93585.249701196895</v>
      </c>
    </row>
    <row r="142" spans="1:7" x14ac:dyDescent="0.25">
      <c r="A142" s="30">
        <f t="shared" si="9"/>
        <v>45870</v>
      </c>
      <c r="B142" s="13" t="s">
        <v>16</v>
      </c>
      <c r="C142" s="13" t="s">
        <v>19</v>
      </c>
      <c r="D142" s="13">
        <v>5607</v>
      </c>
      <c r="E142" s="21">
        <f t="shared" si="7"/>
        <v>34.99</v>
      </c>
      <c r="F142" s="11">
        <v>216608.43141334847</v>
      </c>
      <c r="G142" s="11">
        <v>77979.035308805454</v>
      </c>
    </row>
    <row r="143" spans="1:7" x14ac:dyDescent="0.25">
      <c r="A143" s="30">
        <f t="shared" si="9"/>
        <v>45870</v>
      </c>
      <c r="B143" s="13" t="s">
        <v>16</v>
      </c>
      <c r="C143" s="13" t="s">
        <v>20</v>
      </c>
      <c r="D143" s="13">
        <v>6281</v>
      </c>
      <c r="E143" s="21">
        <f t="shared" si="7"/>
        <v>24.99</v>
      </c>
      <c r="F143" s="11">
        <v>173298.94080723092</v>
      </c>
      <c r="G143" s="11">
        <v>62387.618690603129</v>
      </c>
    </row>
    <row r="144" spans="1:7" x14ac:dyDescent="0.25">
      <c r="A144" s="30">
        <f t="shared" si="9"/>
        <v>45870</v>
      </c>
      <c r="B144" s="13" t="s">
        <v>16</v>
      </c>
      <c r="C144" s="13" t="s">
        <v>21</v>
      </c>
      <c r="D144" s="13">
        <v>2180</v>
      </c>
      <c r="E144" s="21">
        <f t="shared" si="7"/>
        <v>59.99</v>
      </c>
      <c r="F144" s="11">
        <v>144389.70009705014</v>
      </c>
      <c r="G144" s="11">
        <v>51980.292034938051</v>
      </c>
    </row>
    <row r="145" spans="1:7" x14ac:dyDescent="0.25">
      <c r="A145" s="30">
        <f t="shared" si="9"/>
        <v>45870</v>
      </c>
      <c r="B145" s="13" t="s">
        <v>16</v>
      </c>
      <c r="C145" s="13" t="s">
        <v>22</v>
      </c>
      <c r="D145" s="13">
        <v>15105</v>
      </c>
      <c r="E145" s="21">
        <f t="shared" si="7"/>
        <v>12.99</v>
      </c>
      <c r="F145" s="11">
        <v>216636.05551504451</v>
      </c>
      <c r="G145" s="11">
        <v>77988.979985416023</v>
      </c>
    </row>
    <row r="146" spans="1:7" x14ac:dyDescent="0.25">
      <c r="A146" s="30">
        <f t="shared" si="9"/>
        <v>45870</v>
      </c>
      <c r="B146" s="13" t="s">
        <v>16</v>
      </c>
      <c r="C146" s="13" t="s">
        <v>23</v>
      </c>
      <c r="D146" s="13">
        <v>6543</v>
      </c>
      <c r="E146" s="21">
        <f t="shared" ref="E146:E172" si="10">_xlfn.XLOOKUP(C146,$C:$C,$E:$E)</f>
        <v>19.989999999999998</v>
      </c>
      <c r="F146" s="11">
        <v>144407.77389979854</v>
      </c>
      <c r="G146" s="11">
        <v>51986.798603927477</v>
      </c>
    </row>
    <row r="147" spans="1:7" x14ac:dyDescent="0.25">
      <c r="A147" s="30">
        <f t="shared" ref="A147:A159" si="11">DATE(2025,9,1)</f>
        <v>45901</v>
      </c>
      <c r="B147" s="13" t="s">
        <v>9</v>
      </c>
      <c r="C147" s="13" t="s">
        <v>10</v>
      </c>
      <c r="D147" s="13">
        <v>4672</v>
      </c>
      <c r="E147" s="21">
        <f t="shared" si="10"/>
        <v>129.99</v>
      </c>
      <c r="F147" s="11">
        <v>683933.39265595563</v>
      </c>
      <c r="G147" s="11">
        <v>355645.36418109696</v>
      </c>
    </row>
    <row r="148" spans="1:7" x14ac:dyDescent="0.25">
      <c r="A148" s="30">
        <f t="shared" si="11"/>
        <v>45901</v>
      </c>
      <c r="B148" s="13" t="s">
        <v>9</v>
      </c>
      <c r="C148" s="13" t="s">
        <v>11</v>
      </c>
      <c r="D148" s="13">
        <v>3036</v>
      </c>
      <c r="E148" s="21">
        <f t="shared" si="10"/>
        <v>159.99</v>
      </c>
      <c r="F148" s="11">
        <v>547010.46649063227</v>
      </c>
      <c r="G148" s="11">
        <v>284445.44257512881</v>
      </c>
    </row>
    <row r="149" spans="1:7" x14ac:dyDescent="0.25">
      <c r="A149" s="30">
        <f t="shared" si="11"/>
        <v>45901</v>
      </c>
      <c r="B149" s="13" t="s">
        <v>9</v>
      </c>
      <c r="C149" s="13" t="s">
        <v>12</v>
      </c>
      <c r="D149" s="13">
        <v>4859</v>
      </c>
      <c r="E149" s="21">
        <f t="shared" si="10"/>
        <v>89.99</v>
      </c>
      <c r="F149" s="11">
        <v>492427.36733638821</v>
      </c>
      <c r="G149" s="11">
        <v>256062.23101492188</v>
      </c>
    </row>
    <row r="150" spans="1:7" x14ac:dyDescent="0.25">
      <c r="A150" s="30">
        <f t="shared" si="11"/>
        <v>45901</v>
      </c>
      <c r="B150" s="13" t="s">
        <v>9</v>
      </c>
      <c r="C150" s="13" t="s">
        <v>13</v>
      </c>
      <c r="D150" s="13">
        <v>4555</v>
      </c>
      <c r="E150" s="21">
        <f t="shared" si="10"/>
        <v>79.989999999999995</v>
      </c>
      <c r="F150" s="11">
        <v>410322.28888160444</v>
      </c>
      <c r="G150" s="11">
        <v>213367.59021843431</v>
      </c>
    </row>
    <row r="151" spans="1:7" x14ac:dyDescent="0.25">
      <c r="A151" s="30">
        <f t="shared" si="11"/>
        <v>45901</v>
      </c>
      <c r="B151" s="13" t="s">
        <v>9</v>
      </c>
      <c r="C151" s="13" t="s">
        <v>14</v>
      </c>
      <c r="D151" s="13">
        <v>3874</v>
      </c>
      <c r="E151" s="21">
        <f t="shared" si="10"/>
        <v>229</v>
      </c>
      <c r="F151" s="11">
        <v>999070.48560038139</v>
      </c>
      <c r="G151" s="11">
        <v>559479.47193621367</v>
      </c>
    </row>
    <row r="152" spans="1:7" x14ac:dyDescent="0.25">
      <c r="A152" s="30">
        <f t="shared" si="11"/>
        <v>45901</v>
      </c>
      <c r="B152" s="13" t="s">
        <v>9</v>
      </c>
      <c r="C152" s="13" t="s">
        <v>15</v>
      </c>
      <c r="D152" s="13">
        <v>6074</v>
      </c>
      <c r="E152" s="21">
        <f t="shared" si="10"/>
        <v>39.99</v>
      </c>
      <c r="F152" s="11">
        <v>273544.01827903558</v>
      </c>
      <c r="G152" s="11">
        <v>142242.88950509852</v>
      </c>
    </row>
    <row r="153" spans="1:7" x14ac:dyDescent="0.25">
      <c r="A153" s="30">
        <f t="shared" si="11"/>
        <v>45901</v>
      </c>
      <c r="B153" s="13" t="s">
        <v>16</v>
      </c>
      <c r="C153" s="13" t="s">
        <v>17</v>
      </c>
      <c r="D153" s="13">
        <v>8723</v>
      </c>
      <c r="E153" s="21">
        <f t="shared" si="10"/>
        <v>29.99</v>
      </c>
      <c r="F153" s="11">
        <v>294607.20834936399</v>
      </c>
      <c r="G153" s="11">
        <v>106058.59500577103</v>
      </c>
    </row>
    <row r="154" spans="1:7" x14ac:dyDescent="0.25">
      <c r="A154" s="30">
        <f t="shared" si="11"/>
        <v>45901</v>
      </c>
      <c r="B154" s="13" t="s">
        <v>16</v>
      </c>
      <c r="C154" s="13" t="s">
        <v>18</v>
      </c>
      <c r="D154" s="13">
        <v>4710</v>
      </c>
      <c r="E154" s="21">
        <f t="shared" si="10"/>
        <v>49.99</v>
      </c>
      <c r="F154" s="11">
        <v>265158.20748672489</v>
      </c>
      <c r="G154" s="11">
        <v>95456.954695220949</v>
      </c>
    </row>
    <row r="155" spans="1:7" x14ac:dyDescent="0.25">
      <c r="A155" s="30">
        <f t="shared" si="11"/>
        <v>45901</v>
      </c>
      <c r="B155" s="13" t="s">
        <v>16</v>
      </c>
      <c r="C155" s="13" t="s">
        <v>19</v>
      </c>
      <c r="D155" s="13">
        <v>5607</v>
      </c>
      <c r="E155" s="21">
        <f t="shared" si="10"/>
        <v>34.99</v>
      </c>
      <c r="F155" s="11">
        <v>220940.60004161575</v>
      </c>
      <c r="G155" s="11">
        <v>79538.616014981671</v>
      </c>
    </row>
    <row r="156" spans="1:7" x14ac:dyDescent="0.25">
      <c r="A156" s="30">
        <f t="shared" si="11"/>
        <v>45901</v>
      </c>
      <c r="B156" s="13" t="s">
        <v>16</v>
      </c>
      <c r="C156" s="13" t="s">
        <v>20</v>
      </c>
      <c r="D156" s="13">
        <v>6281</v>
      </c>
      <c r="E156" s="21">
        <f t="shared" si="10"/>
        <v>24.99</v>
      </c>
      <c r="F156" s="11">
        <v>176764.91962337578</v>
      </c>
      <c r="G156" s="11">
        <v>63635.371064415282</v>
      </c>
    </row>
    <row r="157" spans="1:7" x14ac:dyDescent="0.25">
      <c r="A157" s="30">
        <f t="shared" si="11"/>
        <v>45901</v>
      </c>
      <c r="B157" s="13" t="s">
        <v>16</v>
      </c>
      <c r="C157" s="13" t="s">
        <v>21</v>
      </c>
      <c r="D157" s="13">
        <v>2180</v>
      </c>
      <c r="E157" s="21">
        <f t="shared" si="10"/>
        <v>59.99</v>
      </c>
      <c r="F157" s="11">
        <v>147277.49409899136</v>
      </c>
      <c r="G157" s="11">
        <v>53019.897875636889</v>
      </c>
    </row>
    <row r="158" spans="1:7" x14ac:dyDescent="0.25">
      <c r="A158" s="30">
        <f t="shared" si="11"/>
        <v>45901</v>
      </c>
      <c r="B158" s="13" t="s">
        <v>16</v>
      </c>
      <c r="C158" s="13" t="s">
        <v>22</v>
      </c>
      <c r="D158" s="13">
        <v>15105</v>
      </c>
      <c r="E158" s="21">
        <f t="shared" si="10"/>
        <v>12.99</v>
      </c>
      <c r="F158" s="11">
        <v>220968.77662534572</v>
      </c>
      <c r="G158" s="11">
        <v>79548.759585124455</v>
      </c>
    </row>
    <row r="159" spans="1:7" x14ac:dyDescent="0.25">
      <c r="A159" s="30">
        <f t="shared" si="11"/>
        <v>45901</v>
      </c>
      <c r="B159" s="13" t="s">
        <v>16</v>
      </c>
      <c r="C159" s="13" t="s">
        <v>23</v>
      </c>
      <c r="D159" s="13">
        <v>6543</v>
      </c>
      <c r="E159" s="21">
        <f t="shared" si="10"/>
        <v>19.989999999999998</v>
      </c>
      <c r="F159" s="11">
        <v>147295.9293777947</v>
      </c>
      <c r="G159" s="11">
        <v>53026.534576006088</v>
      </c>
    </row>
    <row r="160" spans="1:7" x14ac:dyDescent="0.25">
      <c r="A160" s="30">
        <f t="shared" ref="A160:A172" si="12">DATE(2025,10,1)</f>
        <v>45931</v>
      </c>
      <c r="B160" s="13" t="s">
        <v>9</v>
      </c>
      <c r="C160" s="13" t="s">
        <v>10</v>
      </c>
      <c r="D160" s="13">
        <v>4672</v>
      </c>
      <c r="E160" s="21">
        <f t="shared" si="10"/>
        <v>129.99</v>
      </c>
      <c r="F160" s="11">
        <v>697612.06050907401</v>
      </c>
      <c r="G160" s="11">
        <v>362758.27146471851</v>
      </c>
    </row>
    <row r="161" spans="1:7" x14ac:dyDescent="0.25">
      <c r="A161" s="30">
        <f t="shared" si="12"/>
        <v>45931</v>
      </c>
      <c r="B161" s="13" t="s">
        <v>9</v>
      </c>
      <c r="C161" s="13" t="s">
        <v>11</v>
      </c>
      <c r="D161" s="13">
        <v>3036</v>
      </c>
      <c r="E161" s="21">
        <f t="shared" si="10"/>
        <v>159.99</v>
      </c>
      <c r="F161" s="11">
        <v>557950.67582044436</v>
      </c>
      <c r="G161" s="11">
        <v>290134.3514266311</v>
      </c>
    </row>
    <row r="162" spans="1:7" x14ac:dyDescent="0.25">
      <c r="A162" s="30">
        <f t="shared" si="12"/>
        <v>45931</v>
      </c>
      <c r="B162" s="13" t="s">
        <v>9</v>
      </c>
      <c r="C162" s="13" t="s">
        <v>12</v>
      </c>
      <c r="D162" s="13">
        <v>4859</v>
      </c>
      <c r="E162" s="21">
        <f t="shared" si="10"/>
        <v>89.99</v>
      </c>
      <c r="F162" s="11">
        <v>502275.91468311544</v>
      </c>
      <c r="G162" s="11">
        <v>261183.47563522003</v>
      </c>
    </row>
    <row r="163" spans="1:7" x14ac:dyDescent="0.25">
      <c r="A163" s="30">
        <f t="shared" si="12"/>
        <v>45931</v>
      </c>
      <c r="B163" s="13" t="s">
        <v>9</v>
      </c>
      <c r="C163" s="13" t="s">
        <v>13</v>
      </c>
      <c r="D163" s="13">
        <v>4555</v>
      </c>
      <c r="E163" s="21">
        <f t="shared" si="10"/>
        <v>79.989999999999995</v>
      </c>
      <c r="F163" s="11">
        <v>418528.7346592361</v>
      </c>
      <c r="G163" s="11">
        <v>217634.94202280277</v>
      </c>
    </row>
    <row r="164" spans="1:7" x14ac:dyDescent="0.25">
      <c r="A164" s="30">
        <f t="shared" si="12"/>
        <v>45931</v>
      </c>
      <c r="B164" s="13" t="s">
        <v>9</v>
      </c>
      <c r="C164" s="13" t="s">
        <v>14</v>
      </c>
      <c r="D164" s="13">
        <v>3874</v>
      </c>
      <c r="E164" s="21">
        <f t="shared" si="10"/>
        <v>229</v>
      </c>
      <c r="F164" s="11">
        <v>1019051.895312388</v>
      </c>
      <c r="G164" s="11">
        <v>570669.0613749373</v>
      </c>
    </row>
    <row r="165" spans="1:7" x14ac:dyDescent="0.25">
      <c r="A165" s="30">
        <f t="shared" si="12"/>
        <v>45931</v>
      </c>
      <c r="B165" s="13" t="s">
        <v>9</v>
      </c>
      <c r="C165" s="13" t="s">
        <v>15</v>
      </c>
      <c r="D165" s="13">
        <v>6074</v>
      </c>
      <c r="E165" s="21">
        <f t="shared" si="10"/>
        <v>39.99</v>
      </c>
      <c r="F165" s="11">
        <v>279014.89864461601</v>
      </c>
      <c r="G165" s="11">
        <v>145087.74729520033</v>
      </c>
    </row>
    <row r="166" spans="1:7" x14ac:dyDescent="0.25">
      <c r="A166" s="30">
        <f t="shared" si="12"/>
        <v>45931</v>
      </c>
      <c r="B166" s="13" t="s">
        <v>16</v>
      </c>
      <c r="C166" s="13" t="s">
        <v>17</v>
      </c>
      <c r="D166" s="13">
        <v>8723</v>
      </c>
      <c r="E166" s="21">
        <f t="shared" si="10"/>
        <v>29.99</v>
      </c>
      <c r="F166" s="11">
        <v>300499.35251635098</v>
      </c>
      <c r="G166" s="11">
        <v>108179.76690588635</v>
      </c>
    </row>
    <row r="167" spans="1:7" x14ac:dyDescent="0.25">
      <c r="A167" s="30">
        <f t="shared" si="12"/>
        <v>45931</v>
      </c>
      <c r="B167" s="13" t="s">
        <v>16</v>
      </c>
      <c r="C167" s="13" t="s">
        <v>18</v>
      </c>
      <c r="D167" s="13">
        <v>4710</v>
      </c>
      <c r="E167" s="21">
        <f t="shared" si="10"/>
        <v>49.99</v>
      </c>
      <c r="F167" s="11">
        <v>270461.37163645914</v>
      </c>
      <c r="G167" s="11">
        <v>97366.093789125283</v>
      </c>
    </row>
    <row r="168" spans="1:7" x14ac:dyDescent="0.25">
      <c r="A168" s="30">
        <f t="shared" si="12"/>
        <v>45931</v>
      </c>
      <c r="B168" s="13" t="s">
        <v>16</v>
      </c>
      <c r="C168" s="13" t="s">
        <v>19</v>
      </c>
      <c r="D168" s="13">
        <v>5607</v>
      </c>
      <c r="E168" s="21">
        <f t="shared" si="10"/>
        <v>34.99</v>
      </c>
      <c r="F168" s="11">
        <v>225359.41204244786</v>
      </c>
      <c r="G168" s="11">
        <v>81129.388335281226</v>
      </c>
    </row>
    <row r="169" spans="1:7" x14ac:dyDescent="0.25">
      <c r="A169" s="30">
        <f t="shared" si="12"/>
        <v>45931</v>
      </c>
      <c r="B169" s="13" t="s">
        <v>16</v>
      </c>
      <c r="C169" s="13" t="s">
        <v>20</v>
      </c>
      <c r="D169" s="13">
        <v>6281</v>
      </c>
      <c r="E169" s="21">
        <f t="shared" si="10"/>
        <v>24.99</v>
      </c>
      <c r="F169" s="11">
        <v>180300.21801584313</v>
      </c>
      <c r="G169" s="11">
        <v>64908.078485703525</v>
      </c>
    </row>
    <row r="170" spans="1:7" x14ac:dyDescent="0.25">
      <c r="A170" s="30">
        <f t="shared" si="12"/>
        <v>45931</v>
      </c>
      <c r="B170" s="13" t="s">
        <v>16</v>
      </c>
      <c r="C170" s="13" t="s">
        <v>21</v>
      </c>
      <c r="D170" s="13">
        <v>2180</v>
      </c>
      <c r="E170" s="21">
        <f t="shared" si="10"/>
        <v>59.99</v>
      </c>
      <c r="F170" s="11">
        <v>150223.04398097104</v>
      </c>
      <c r="G170" s="11">
        <v>54080.295833149568</v>
      </c>
    </row>
    <row r="171" spans="1:7" x14ac:dyDescent="0.25">
      <c r="A171" s="30">
        <f t="shared" si="12"/>
        <v>45931</v>
      </c>
      <c r="B171" s="13" t="s">
        <v>16</v>
      </c>
      <c r="C171" s="13" t="s">
        <v>22</v>
      </c>
      <c r="D171" s="13">
        <v>15105</v>
      </c>
      <c r="E171" s="21">
        <f t="shared" si="10"/>
        <v>12.99</v>
      </c>
      <c r="F171" s="11">
        <v>225388.15215785243</v>
      </c>
      <c r="G171" s="11">
        <v>81139.734776826866</v>
      </c>
    </row>
    <row r="172" spans="1:7" x14ac:dyDescent="0.25">
      <c r="A172" s="30">
        <f t="shared" si="12"/>
        <v>45931</v>
      </c>
      <c r="B172" s="13" t="s">
        <v>16</v>
      </c>
      <c r="C172" s="13" t="s">
        <v>23</v>
      </c>
      <c r="D172" s="13">
        <v>6543</v>
      </c>
      <c r="E172" s="21">
        <f t="shared" si="10"/>
        <v>19.989999999999998</v>
      </c>
      <c r="F172" s="11">
        <v>150241.84796535046</v>
      </c>
      <c r="G172" s="11">
        <v>54087.065267526166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workbookViewId="0">
      <selection activeCell="E3" sqref="E3"/>
    </sheetView>
  </sheetViews>
  <sheetFormatPr defaultRowHeight="15" customHeight="1" x14ac:dyDescent="0.25"/>
  <cols>
    <col min="1" max="1" width="15.7109375" customWidth="1"/>
    <col min="2" max="2" width="20.140625" customWidth="1"/>
    <col min="3" max="3" width="20.7109375" customWidth="1"/>
    <col min="4" max="4" width="25.42578125" bestFit="1" customWidth="1"/>
    <col min="5" max="5" width="23.7109375" bestFit="1" customWidth="1"/>
    <col min="6" max="6" width="15.42578125" bestFit="1" customWidth="1"/>
    <col min="7" max="7" width="11.28515625" bestFit="1" customWidth="1"/>
    <col min="8" max="8" width="20.140625" bestFit="1" customWidth="1"/>
  </cols>
  <sheetData>
    <row r="1" spans="1:8" ht="18.75" x14ac:dyDescent="0.3">
      <c r="A1" s="95" t="s">
        <v>0</v>
      </c>
      <c r="B1" s="95"/>
      <c r="C1" s="95"/>
      <c r="D1" s="95"/>
      <c r="E1" s="95"/>
      <c r="F1" s="95"/>
      <c r="G1" s="95"/>
      <c r="H1" s="95"/>
    </row>
    <row r="2" spans="1:8" x14ac:dyDescent="0.25"/>
    <row r="3" spans="1:8" ht="15.75" x14ac:dyDescent="0.25">
      <c r="A3" s="1" t="s">
        <v>1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</row>
    <row r="4" spans="1:8" x14ac:dyDescent="0.25">
      <c r="A4" s="9">
        <v>45383</v>
      </c>
      <c r="B4" s="2" t="s">
        <v>32</v>
      </c>
      <c r="C4" s="5">
        <v>1924048</v>
      </c>
      <c r="D4" s="5">
        <v>1385315</v>
      </c>
      <c r="E4" s="5">
        <v>538733</v>
      </c>
      <c r="F4" s="4">
        <v>0.72</v>
      </c>
      <c r="G4" s="3">
        <v>22636</v>
      </c>
    </row>
    <row r="5" spans="1:8" x14ac:dyDescent="0.25">
      <c r="A5" s="9">
        <v>45383</v>
      </c>
      <c r="B5" s="2" t="s">
        <v>33</v>
      </c>
      <c r="C5" s="5">
        <v>1087505</v>
      </c>
      <c r="D5" s="5">
        <v>674253</v>
      </c>
      <c r="E5" s="5">
        <v>413252</v>
      </c>
      <c r="F5" s="4">
        <v>0.62</v>
      </c>
      <c r="G5" s="3">
        <v>12794</v>
      </c>
    </row>
    <row r="6" spans="1:8" x14ac:dyDescent="0.25">
      <c r="A6" s="9">
        <v>45383</v>
      </c>
      <c r="B6" s="2" t="s">
        <v>34</v>
      </c>
      <c r="C6" s="5">
        <v>1003851</v>
      </c>
      <c r="D6" s="5">
        <v>803081</v>
      </c>
      <c r="E6" s="5">
        <v>200770</v>
      </c>
      <c r="F6" s="4">
        <v>0.8</v>
      </c>
      <c r="G6" s="3">
        <v>15444</v>
      </c>
    </row>
    <row r="7" spans="1:8" x14ac:dyDescent="0.25">
      <c r="A7" s="9">
        <v>45383</v>
      </c>
      <c r="B7" s="2" t="s">
        <v>35</v>
      </c>
      <c r="C7" s="5">
        <v>167309</v>
      </c>
      <c r="D7" s="5">
        <v>73616</v>
      </c>
      <c r="E7" s="5">
        <v>93693</v>
      </c>
      <c r="F7" s="4">
        <v>0.44</v>
      </c>
      <c r="G7" s="3">
        <v>2574</v>
      </c>
    </row>
    <row r="8" spans="1:8" x14ac:dyDescent="0.25">
      <c r="A8" s="9">
        <v>45413</v>
      </c>
      <c r="B8" s="2" t="s">
        <v>32</v>
      </c>
      <c r="C8" s="5">
        <v>1952909</v>
      </c>
      <c r="D8" s="5">
        <v>1406094</v>
      </c>
      <c r="E8" s="5">
        <v>546815</v>
      </c>
      <c r="F8" s="4">
        <v>0.72</v>
      </c>
      <c r="G8" s="3">
        <v>22975</v>
      </c>
    </row>
    <row r="9" spans="1:8" x14ac:dyDescent="0.25">
      <c r="A9" s="9">
        <v>45413</v>
      </c>
      <c r="B9" s="2" t="s">
        <v>33</v>
      </c>
      <c r="C9" s="5">
        <v>1103818</v>
      </c>
      <c r="D9" s="5">
        <v>684367</v>
      </c>
      <c r="E9" s="5">
        <v>419451</v>
      </c>
      <c r="F9" s="4">
        <v>0.62</v>
      </c>
      <c r="G9" s="3">
        <v>12986</v>
      </c>
    </row>
    <row r="10" spans="1:8" x14ac:dyDescent="0.25">
      <c r="A10" s="9">
        <v>45413</v>
      </c>
      <c r="B10" s="2" t="s">
        <v>34</v>
      </c>
      <c r="C10" s="5">
        <v>1018909</v>
      </c>
      <c r="D10" s="5">
        <v>815127</v>
      </c>
      <c r="E10" s="5">
        <v>203782</v>
      </c>
      <c r="F10" s="4">
        <v>0.8</v>
      </c>
      <c r="G10" s="3">
        <v>15676</v>
      </c>
    </row>
    <row r="11" spans="1:8" x14ac:dyDescent="0.25">
      <c r="A11" s="9">
        <v>45413</v>
      </c>
      <c r="B11" s="2" t="s">
        <v>35</v>
      </c>
      <c r="C11" s="5">
        <v>169818</v>
      </c>
      <c r="D11" s="5">
        <v>74720</v>
      </c>
      <c r="E11" s="5">
        <v>95098</v>
      </c>
      <c r="F11" s="4">
        <v>0.44</v>
      </c>
      <c r="G11" s="3">
        <v>2613</v>
      </c>
    </row>
    <row r="12" spans="1:8" x14ac:dyDescent="0.25">
      <c r="A12" s="9">
        <v>45444</v>
      </c>
      <c r="B12" s="2" t="s">
        <v>32</v>
      </c>
      <c r="C12" s="5">
        <v>1982203</v>
      </c>
      <c r="D12" s="5">
        <v>1427186</v>
      </c>
      <c r="E12" s="5">
        <v>555017</v>
      </c>
      <c r="F12" s="4">
        <v>0.72</v>
      </c>
      <c r="G12" s="3">
        <v>23320</v>
      </c>
    </row>
    <row r="13" spans="1:8" x14ac:dyDescent="0.25">
      <c r="A13" s="9">
        <v>45444</v>
      </c>
      <c r="B13" s="2" t="s">
        <v>33</v>
      </c>
      <c r="C13" s="5">
        <v>1120375</v>
      </c>
      <c r="D13" s="5">
        <v>694633</v>
      </c>
      <c r="E13" s="5">
        <v>425742</v>
      </c>
      <c r="F13" s="4">
        <v>0.62</v>
      </c>
      <c r="G13" s="3">
        <v>13181</v>
      </c>
    </row>
    <row r="14" spans="1:8" x14ac:dyDescent="0.25">
      <c r="A14" s="9">
        <v>45444</v>
      </c>
      <c r="B14" s="2" t="s">
        <v>34</v>
      </c>
      <c r="C14" s="5">
        <v>1034193</v>
      </c>
      <c r="D14" s="5">
        <v>827354</v>
      </c>
      <c r="E14" s="5">
        <v>206839</v>
      </c>
      <c r="F14" s="4">
        <v>0.8</v>
      </c>
      <c r="G14" s="3">
        <v>15911</v>
      </c>
    </row>
    <row r="15" spans="1:8" x14ac:dyDescent="0.25">
      <c r="A15" s="9">
        <v>45444</v>
      </c>
      <c r="B15" s="2" t="s">
        <v>35</v>
      </c>
      <c r="C15" s="5">
        <v>172365</v>
      </c>
      <c r="D15" s="5">
        <v>75841</v>
      </c>
      <c r="E15" s="5">
        <v>96524</v>
      </c>
      <c r="F15" s="4">
        <v>0.44</v>
      </c>
      <c r="G15" s="3">
        <v>2652</v>
      </c>
    </row>
    <row r="16" spans="1:8" x14ac:dyDescent="0.25">
      <c r="A16" s="9">
        <v>45474</v>
      </c>
      <c r="B16" s="2" t="s">
        <v>32</v>
      </c>
      <c r="C16" s="5">
        <v>2011936</v>
      </c>
      <c r="D16" s="5">
        <v>1448594</v>
      </c>
      <c r="E16" s="5">
        <v>563342</v>
      </c>
      <c r="F16" s="4">
        <v>0.72</v>
      </c>
      <c r="G16" s="3">
        <v>23670</v>
      </c>
    </row>
    <row r="17" spans="1:7" x14ac:dyDescent="0.25">
      <c r="A17" s="9">
        <v>45474</v>
      </c>
      <c r="B17" s="2" t="s">
        <v>33</v>
      </c>
      <c r="C17" s="5">
        <v>1137181</v>
      </c>
      <c r="D17" s="5">
        <v>705052</v>
      </c>
      <c r="E17" s="5">
        <v>432129</v>
      </c>
      <c r="F17" s="4">
        <v>0.62</v>
      </c>
      <c r="G17" s="3">
        <v>13379</v>
      </c>
    </row>
    <row r="18" spans="1:7" x14ac:dyDescent="0.25">
      <c r="A18" s="9">
        <v>45474</v>
      </c>
      <c r="B18" s="2" t="s">
        <v>34</v>
      </c>
      <c r="C18" s="5">
        <v>1049706</v>
      </c>
      <c r="D18" s="5">
        <v>839765</v>
      </c>
      <c r="E18" s="5">
        <v>209941</v>
      </c>
      <c r="F18" s="4">
        <v>0.8</v>
      </c>
      <c r="G18" s="3">
        <v>16149</v>
      </c>
    </row>
    <row r="19" spans="1:7" x14ac:dyDescent="0.25">
      <c r="A19" s="9">
        <v>45474</v>
      </c>
      <c r="B19" s="2" t="s">
        <v>35</v>
      </c>
      <c r="C19" s="5">
        <v>174950</v>
      </c>
      <c r="D19" s="5">
        <v>76978</v>
      </c>
      <c r="E19" s="5">
        <v>97972</v>
      </c>
      <c r="F19" s="4">
        <v>0.44</v>
      </c>
      <c r="G19" s="3">
        <v>2692</v>
      </c>
    </row>
    <row r="20" spans="1:7" x14ac:dyDescent="0.25">
      <c r="A20" s="9">
        <v>45505</v>
      </c>
      <c r="B20" s="2" t="s">
        <v>32</v>
      </c>
      <c r="C20" s="5">
        <v>2042115</v>
      </c>
      <c r="D20" s="5">
        <v>1470323</v>
      </c>
      <c r="E20" s="5">
        <v>571792</v>
      </c>
      <c r="F20" s="4">
        <v>0.72</v>
      </c>
      <c r="G20" s="3">
        <v>24025</v>
      </c>
    </row>
    <row r="21" spans="1:7" x14ac:dyDescent="0.25">
      <c r="A21" s="9">
        <v>45505</v>
      </c>
      <c r="B21" s="2" t="s">
        <v>33</v>
      </c>
      <c r="C21" s="5">
        <v>1154239</v>
      </c>
      <c r="D21" s="5">
        <v>715628</v>
      </c>
      <c r="E21" s="5">
        <v>438611</v>
      </c>
      <c r="F21" s="4">
        <v>0.62</v>
      </c>
      <c r="G21" s="3">
        <v>13579</v>
      </c>
    </row>
    <row r="22" spans="1:7" x14ac:dyDescent="0.25">
      <c r="A22" s="9">
        <v>45505</v>
      </c>
      <c r="B22" s="2" t="s">
        <v>34</v>
      </c>
      <c r="C22" s="5">
        <v>1065451</v>
      </c>
      <c r="D22" s="5">
        <v>852361</v>
      </c>
      <c r="E22" s="5">
        <v>213090</v>
      </c>
      <c r="F22" s="4">
        <v>0.8</v>
      </c>
      <c r="G22" s="3">
        <v>16392</v>
      </c>
    </row>
    <row r="23" spans="1:7" x14ac:dyDescent="0.25">
      <c r="A23" s="9">
        <v>45505</v>
      </c>
      <c r="B23" s="2" t="s">
        <v>35</v>
      </c>
      <c r="C23" s="5">
        <v>177575</v>
      </c>
      <c r="D23" s="5">
        <v>78133</v>
      </c>
      <c r="E23" s="5">
        <v>99442</v>
      </c>
      <c r="F23" s="4">
        <v>0.44</v>
      </c>
      <c r="G23" s="3">
        <v>2732</v>
      </c>
    </row>
    <row r="24" spans="1:7" x14ac:dyDescent="0.25">
      <c r="A24" s="9">
        <v>45536</v>
      </c>
      <c r="B24" s="2" t="s">
        <v>32</v>
      </c>
      <c r="C24" s="5">
        <v>2176384</v>
      </c>
      <c r="D24" s="5">
        <v>1610524</v>
      </c>
      <c r="E24" s="5">
        <v>565860</v>
      </c>
      <c r="F24" s="4">
        <v>0.74</v>
      </c>
      <c r="G24" s="3">
        <v>25605</v>
      </c>
    </row>
    <row r="25" spans="1:7" x14ac:dyDescent="0.25">
      <c r="A25" s="9">
        <v>45536</v>
      </c>
      <c r="B25" s="2" t="s">
        <v>33</v>
      </c>
      <c r="C25" s="5">
        <v>1230130</v>
      </c>
      <c r="D25" s="5">
        <v>787283</v>
      </c>
      <c r="E25" s="5">
        <v>442847</v>
      </c>
      <c r="F25" s="4">
        <v>0.64</v>
      </c>
      <c r="G25" s="3">
        <v>14472</v>
      </c>
    </row>
    <row r="26" spans="1:7" x14ac:dyDescent="0.25">
      <c r="A26" s="9">
        <v>45536</v>
      </c>
      <c r="B26" s="2" t="s">
        <v>34</v>
      </c>
      <c r="C26" s="5">
        <v>1135505</v>
      </c>
      <c r="D26" s="5">
        <v>931114</v>
      </c>
      <c r="E26" s="5">
        <v>204391</v>
      </c>
      <c r="F26" s="4">
        <v>0.82</v>
      </c>
      <c r="G26" s="3">
        <v>17469</v>
      </c>
    </row>
    <row r="27" spans="1:7" x14ac:dyDescent="0.25">
      <c r="A27" s="9">
        <v>45536</v>
      </c>
      <c r="B27" s="2" t="s">
        <v>35</v>
      </c>
      <c r="C27" s="5">
        <v>189250</v>
      </c>
      <c r="D27" s="5">
        <v>87055</v>
      </c>
      <c r="E27" s="5">
        <v>102195</v>
      </c>
      <c r="F27" s="4">
        <v>0.46</v>
      </c>
      <c r="G27" s="3">
        <v>2912</v>
      </c>
    </row>
    <row r="28" spans="1:7" x14ac:dyDescent="0.25">
      <c r="A28" s="9">
        <v>45566</v>
      </c>
      <c r="B28" s="2" t="s">
        <v>32</v>
      </c>
      <c r="C28" s="5">
        <v>2209029</v>
      </c>
      <c r="D28" s="5">
        <v>1634681</v>
      </c>
      <c r="E28" s="5">
        <v>574348</v>
      </c>
      <c r="F28" s="4">
        <v>0.74</v>
      </c>
      <c r="G28" s="3">
        <v>25989</v>
      </c>
    </row>
    <row r="29" spans="1:7" x14ac:dyDescent="0.25">
      <c r="A29" s="9">
        <v>45566</v>
      </c>
      <c r="B29" s="2" t="s">
        <v>33</v>
      </c>
      <c r="C29" s="5">
        <v>1248582</v>
      </c>
      <c r="D29" s="5">
        <v>799092</v>
      </c>
      <c r="E29" s="5">
        <v>449490</v>
      </c>
      <c r="F29" s="4">
        <v>0.64</v>
      </c>
      <c r="G29" s="3">
        <v>14689</v>
      </c>
    </row>
    <row r="30" spans="1:7" x14ac:dyDescent="0.25">
      <c r="A30" s="9">
        <v>45566</v>
      </c>
      <c r="B30" s="2" t="s">
        <v>34</v>
      </c>
      <c r="C30" s="5">
        <v>1152537</v>
      </c>
      <c r="D30" s="5">
        <v>945080</v>
      </c>
      <c r="E30" s="5">
        <v>207457</v>
      </c>
      <c r="F30" s="4">
        <v>0.82</v>
      </c>
      <c r="G30" s="3">
        <v>17731</v>
      </c>
    </row>
    <row r="31" spans="1:7" x14ac:dyDescent="0.25">
      <c r="A31" s="9">
        <v>45566</v>
      </c>
      <c r="B31" s="2" t="s">
        <v>35</v>
      </c>
      <c r="C31" s="5">
        <v>192090</v>
      </c>
      <c r="D31" s="5">
        <v>88361</v>
      </c>
      <c r="E31" s="5">
        <v>103729</v>
      </c>
      <c r="F31" s="4">
        <v>0.46</v>
      </c>
      <c r="G31" s="3">
        <v>2955</v>
      </c>
    </row>
    <row r="32" spans="1:7" x14ac:dyDescent="0.25">
      <c r="A32" s="9">
        <v>45597</v>
      </c>
      <c r="B32" s="2" t="s">
        <v>32</v>
      </c>
      <c r="C32" s="5">
        <v>2645754</v>
      </c>
      <c r="D32" s="5">
        <v>1957858</v>
      </c>
      <c r="E32" s="5">
        <v>687896</v>
      </c>
      <c r="F32" s="4">
        <v>0.74</v>
      </c>
      <c r="G32" s="3">
        <v>31127</v>
      </c>
    </row>
    <row r="33" spans="1:7" x14ac:dyDescent="0.25">
      <c r="A33" s="9">
        <v>45597</v>
      </c>
      <c r="B33" s="2" t="s">
        <v>33</v>
      </c>
      <c r="C33" s="5">
        <v>1495426</v>
      </c>
      <c r="D33" s="5">
        <v>957073</v>
      </c>
      <c r="E33" s="5">
        <v>538353</v>
      </c>
      <c r="F33" s="4">
        <v>0.64</v>
      </c>
      <c r="G33" s="3">
        <v>17593</v>
      </c>
    </row>
    <row r="34" spans="1:7" x14ac:dyDescent="0.25">
      <c r="A34" s="9">
        <v>45597</v>
      </c>
      <c r="B34" s="2" t="s">
        <v>34</v>
      </c>
      <c r="C34" s="5">
        <v>1380394</v>
      </c>
      <c r="D34" s="5">
        <v>1131923</v>
      </c>
      <c r="E34" s="5">
        <v>248471</v>
      </c>
      <c r="F34" s="4">
        <v>0.82</v>
      </c>
      <c r="G34" s="3">
        <v>21237</v>
      </c>
    </row>
    <row r="35" spans="1:7" x14ac:dyDescent="0.25">
      <c r="A35" s="9">
        <v>45597</v>
      </c>
      <c r="B35" s="2" t="s">
        <v>35</v>
      </c>
      <c r="C35" s="5">
        <v>230066</v>
      </c>
      <c r="D35" s="5">
        <v>105830</v>
      </c>
      <c r="E35" s="5">
        <v>124236</v>
      </c>
      <c r="F35" s="4">
        <v>0.46</v>
      </c>
      <c r="G35" s="3">
        <v>3539</v>
      </c>
    </row>
    <row r="36" spans="1:7" x14ac:dyDescent="0.25">
      <c r="A36" s="9">
        <v>45627</v>
      </c>
      <c r="B36" s="2" t="s">
        <v>32</v>
      </c>
      <c r="C36" s="5">
        <v>3072326</v>
      </c>
      <c r="D36" s="5">
        <v>2273521</v>
      </c>
      <c r="E36" s="5">
        <v>798805</v>
      </c>
      <c r="F36" s="4">
        <v>0.74</v>
      </c>
      <c r="G36" s="3">
        <v>36145</v>
      </c>
    </row>
    <row r="37" spans="1:7" x14ac:dyDescent="0.25">
      <c r="A37" s="9">
        <v>45627</v>
      </c>
      <c r="B37" s="2" t="s">
        <v>33</v>
      </c>
      <c r="C37" s="5">
        <v>1736532</v>
      </c>
      <c r="D37" s="5">
        <v>1111380</v>
      </c>
      <c r="E37" s="5">
        <v>625152</v>
      </c>
      <c r="F37" s="4">
        <v>0.64</v>
      </c>
      <c r="G37" s="3">
        <v>20430</v>
      </c>
    </row>
    <row r="38" spans="1:7" x14ac:dyDescent="0.25">
      <c r="A38" s="9">
        <v>45627</v>
      </c>
      <c r="B38" s="2" t="s">
        <v>34</v>
      </c>
      <c r="C38" s="5">
        <v>1602953</v>
      </c>
      <c r="D38" s="5">
        <v>1314421</v>
      </c>
      <c r="E38" s="5">
        <v>288532</v>
      </c>
      <c r="F38" s="4">
        <v>0.82</v>
      </c>
      <c r="G38" s="3">
        <v>24661</v>
      </c>
    </row>
    <row r="39" spans="1:7" x14ac:dyDescent="0.25">
      <c r="A39" s="19">
        <v>45627</v>
      </c>
      <c r="B39" s="17" t="s">
        <v>35</v>
      </c>
      <c r="C39" s="15">
        <v>267159</v>
      </c>
      <c r="D39" s="15">
        <v>122893</v>
      </c>
      <c r="E39" s="15">
        <v>144266</v>
      </c>
      <c r="F39" s="16">
        <v>0.46</v>
      </c>
      <c r="G39" s="20">
        <v>4110</v>
      </c>
    </row>
    <row r="40" spans="1:7" x14ac:dyDescent="0.25">
      <c r="A40" s="19">
        <v>45658</v>
      </c>
      <c r="B40" s="13" t="s">
        <v>32</v>
      </c>
      <c r="C40" s="11">
        <v>1751839.2290000001</v>
      </c>
      <c r="D40" s="11">
        <v>1296361.0294600001</v>
      </c>
      <c r="E40" s="11">
        <v>455478.19954</v>
      </c>
      <c r="F40" s="12">
        <v>0.74</v>
      </c>
      <c r="G40" s="18">
        <v>20610</v>
      </c>
    </row>
    <row r="41" spans="1:7" x14ac:dyDescent="0.25">
      <c r="A41" s="19">
        <v>45658</v>
      </c>
      <c r="B41" s="13" t="s">
        <v>33</v>
      </c>
      <c r="C41" s="11">
        <v>990169.99899999995</v>
      </c>
      <c r="D41" s="11">
        <v>633708.79935999995</v>
      </c>
      <c r="E41" s="11">
        <v>356461.19964000001</v>
      </c>
      <c r="F41" s="12">
        <v>0.64</v>
      </c>
      <c r="G41" s="18">
        <v>11649</v>
      </c>
    </row>
    <row r="42" spans="1:7" x14ac:dyDescent="0.25">
      <c r="A42" s="19">
        <v>45658</v>
      </c>
      <c r="B42" s="13" t="s">
        <v>34</v>
      </c>
      <c r="C42" s="11">
        <v>914003.076</v>
      </c>
      <c r="D42" s="11">
        <v>749482.52231999999</v>
      </c>
      <c r="E42" s="11">
        <v>164520.55368000001</v>
      </c>
      <c r="F42" s="12">
        <v>0.82</v>
      </c>
      <c r="G42" s="18">
        <v>14062</v>
      </c>
    </row>
    <row r="43" spans="1:7" x14ac:dyDescent="0.25">
      <c r="A43" s="19">
        <v>45658</v>
      </c>
      <c r="B43" s="13" t="s">
        <v>35</v>
      </c>
      <c r="C43" s="11">
        <v>152333.84599999999</v>
      </c>
      <c r="D43" s="11">
        <v>70073.569159999999</v>
      </c>
      <c r="E43" s="11">
        <v>82260.276840000006</v>
      </c>
      <c r="F43" s="12">
        <v>0.46</v>
      </c>
      <c r="G43" s="18">
        <v>2344</v>
      </c>
    </row>
    <row r="44" spans="1:7" x14ac:dyDescent="0.25">
      <c r="A44" s="19">
        <v>45689</v>
      </c>
      <c r="B44" s="13" t="s">
        <v>32</v>
      </c>
      <c r="C44" s="11">
        <v>1779542.6738</v>
      </c>
      <c r="D44" s="11">
        <v>1316861.578612</v>
      </c>
      <c r="E44" s="11">
        <v>462681.09518800001</v>
      </c>
      <c r="F44" s="12">
        <v>0.74</v>
      </c>
      <c r="G44" s="18">
        <v>20936</v>
      </c>
    </row>
    <row r="45" spans="1:7" x14ac:dyDescent="0.25">
      <c r="A45" s="19">
        <v>45689</v>
      </c>
      <c r="B45" s="13" t="s">
        <v>33</v>
      </c>
      <c r="C45" s="11">
        <v>1005828.4678</v>
      </c>
      <c r="D45" s="11">
        <v>643730.219392</v>
      </c>
      <c r="E45" s="11">
        <v>362098.24840799998</v>
      </c>
      <c r="F45" s="12">
        <v>0.64</v>
      </c>
      <c r="G45" s="18">
        <v>11833</v>
      </c>
    </row>
    <row r="46" spans="1:7" x14ac:dyDescent="0.25">
      <c r="A46" s="19">
        <v>45689</v>
      </c>
      <c r="B46" s="13" t="s">
        <v>34</v>
      </c>
      <c r="C46" s="11">
        <v>928457.04720000003</v>
      </c>
      <c r="D46" s="11">
        <v>761334.77870400005</v>
      </c>
      <c r="E46" s="11">
        <v>167122.268496</v>
      </c>
      <c r="F46" s="12">
        <v>0.82</v>
      </c>
      <c r="G46" s="18">
        <v>14284</v>
      </c>
    </row>
    <row r="47" spans="1:7" x14ac:dyDescent="0.25">
      <c r="A47" s="19">
        <v>45689</v>
      </c>
      <c r="B47" s="13" t="s">
        <v>35</v>
      </c>
      <c r="C47" s="11">
        <v>154742.8412</v>
      </c>
      <c r="D47" s="11">
        <v>71181.706951999993</v>
      </c>
      <c r="E47" s="11">
        <v>83561.134248000002</v>
      </c>
      <c r="F47" s="12">
        <v>0.46</v>
      </c>
      <c r="G47" s="18">
        <v>2381</v>
      </c>
    </row>
    <row r="48" spans="1:7" x14ac:dyDescent="0.25">
      <c r="A48" s="19">
        <v>45717</v>
      </c>
      <c r="B48" s="13" t="s">
        <v>32</v>
      </c>
      <c r="C48" s="11">
        <v>1993040.8729999999</v>
      </c>
      <c r="D48" s="11">
        <v>1474850.24602</v>
      </c>
      <c r="E48" s="11">
        <v>518190.62698</v>
      </c>
      <c r="F48" s="12">
        <v>0.74</v>
      </c>
      <c r="G48" s="18">
        <v>23448</v>
      </c>
    </row>
    <row r="49" spans="1:7" x14ac:dyDescent="0.25">
      <c r="A49" s="19">
        <f t="shared" ref="A49:A51" si="0">DATE(2025,3,1)</f>
        <v>45717</v>
      </c>
      <c r="B49" s="13" t="s">
        <v>33</v>
      </c>
      <c r="C49" s="11">
        <v>1126501.3629999999</v>
      </c>
      <c r="D49" s="11">
        <v>720960.87231999997</v>
      </c>
      <c r="E49" s="11">
        <v>405540.49067999999</v>
      </c>
      <c r="F49" s="12">
        <v>0.64</v>
      </c>
      <c r="G49" s="18">
        <v>13253</v>
      </c>
    </row>
    <row r="50" spans="1:7" x14ac:dyDescent="0.25">
      <c r="A50" s="19">
        <f t="shared" si="0"/>
        <v>45717</v>
      </c>
      <c r="B50" s="13" t="s">
        <v>34</v>
      </c>
      <c r="C50" s="11">
        <v>1039847.412</v>
      </c>
      <c r="D50" s="11">
        <v>852674.87783999997</v>
      </c>
      <c r="E50" s="11">
        <v>187172.53416000001</v>
      </c>
      <c r="F50" s="12">
        <v>0.82</v>
      </c>
      <c r="G50" s="18">
        <v>15998</v>
      </c>
    </row>
    <row r="51" spans="1:7" x14ac:dyDescent="0.25">
      <c r="A51" s="19">
        <f t="shared" si="0"/>
        <v>45717</v>
      </c>
      <c r="B51" s="13" t="s">
        <v>35</v>
      </c>
      <c r="C51" s="11">
        <v>173307.902</v>
      </c>
      <c r="D51" s="11">
        <v>79721.634919999997</v>
      </c>
      <c r="E51" s="11">
        <v>93586.267080000005</v>
      </c>
      <c r="F51" s="12">
        <v>0.46</v>
      </c>
      <c r="G51" s="18">
        <v>2666</v>
      </c>
    </row>
    <row r="52" spans="1:7" x14ac:dyDescent="0.25">
      <c r="A52" s="19">
        <f t="shared" ref="A52:A55" si="1">DATE(2025,4,1)</f>
        <v>45748</v>
      </c>
      <c r="B52" s="13" t="s">
        <v>32</v>
      </c>
      <c r="C52" s="11">
        <v>2032901.69046</v>
      </c>
      <c r="D52" s="11">
        <v>1504347.2509403999</v>
      </c>
      <c r="E52" s="11">
        <v>528554.43951960001</v>
      </c>
      <c r="F52" s="12">
        <v>0.74</v>
      </c>
      <c r="G52" s="18">
        <v>23916</v>
      </c>
    </row>
    <row r="53" spans="1:7" x14ac:dyDescent="0.25">
      <c r="A53" s="19">
        <f t="shared" si="1"/>
        <v>45748</v>
      </c>
      <c r="B53" s="13" t="s">
        <v>33</v>
      </c>
      <c r="C53" s="11">
        <v>1149031.39026</v>
      </c>
      <c r="D53" s="11">
        <v>735380.08976640005</v>
      </c>
      <c r="E53" s="11">
        <v>413651.30049360002</v>
      </c>
      <c r="F53" s="12">
        <v>0.64</v>
      </c>
      <c r="G53" s="18">
        <v>13518</v>
      </c>
    </row>
    <row r="54" spans="1:7" x14ac:dyDescent="0.25">
      <c r="A54" s="19">
        <f t="shared" si="1"/>
        <v>45748</v>
      </c>
      <c r="B54" s="13" t="s">
        <v>34</v>
      </c>
      <c r="C54" s="11">
        <v>1060644.3602400001</v>
      </c>
      <c r="D54" s="11">
        <v>869728.37539679999</v>
      </c>
      <c r="E54" s="11">
        <v>190915.98484320001</v>
      </c>
      <c r="F54" s="12">
        <v>0.82</v>
      </c>
      <c r="G54" s="18">
        <v>16318</v>
      </c>
    </row>
    <row r="55" spans="1:7" x14ac:dyDescent="0.25">
      <c r="A55" s="19">
        <f t="shared" si="1"/>
        <v>45748</v>
      </c>
      <c r="B55" s="13" t="s">
        <v>35</v>
      </c>
      <c r="C55" s="11">
        <v>176774.06004000001</v>
      </c>
      <c r="D55" s="11">
        <v>81316.067618400004</v>
      </c>
      <c r="E55" s="11">
        <v>95457.992421600007</v>
      </c>
      <c r="F55" s="12">
        <v>0.46</v>
      </c>
      <c r="G55" s="18">
        <v>2720</v>
      </c>
    </row>
    <row r="56" spans="1:7" x14ac:dyDescent="0.25">
      <c r="A56" s="19">
        <f t="shared" ref="A56:A59" si="2">DATE(2025,5,1)</f>
        <v>45778</v>
      </c>
      <c r="B56" s="13" t="s">
        <v>32</v>
      </c>
      <c r="C56" s="11">
        <v>2073559.7242692001</v>
      </c>
      <c r="D56" s="11">
        <v>1534434.1959592099</v>
      </c>
      <c r="E56" s="11">
        <v>539125.52830999205</v>
      </c>
      <c r="F56" s="12">
        <v>0.74</v>
      </c>
      <c r="G56" s="18">
        <v>24395</v>
      </c>
    </row>
    <row r="57" spans="1:7" x14ac:dyDescent="0.25">
      <c r="A57" s="19">
        <f t="shared" si="2"/>
        <v>45778</v>
      </c>
      <c r="B57" s="13" t="s">
        <v>33</v>
      </c>
      <c r="C57" s="11">
        <v>1172012.0180652</v>
      </c>
      <c r="D57" s="11">
        <v>750087.69156172802</v>
      </c>
      <c r="E57" s="11">
        <v>421924.326503472</v>
      </c>
      <c r="F57" s="12">
        <v>0.64</v>
      </c>
      <c r="G57" s="18">
        <v>13788</v>
      </c>
    </row>
    <row r="58" spans="1:7" x14ac:dyDescent="0.25">
      <c r="A58" s="19">
        <f t="shared" si="2"/>
        <v>45778</v>
      </c>
      <c r="B58" s="13" t="s">
        <v>34</v>
      </c>
      <c r="C58" s="11">
        <v>1081857.2474448001</v>
      </c>
      <c r="D58" s="11">
        <v>887122.94290473603</v>
      </c>
      <c r="E58" s="11">
        <v>194734.30454006401</v>
      </c>
      <c r="F58" s="12">
        <v>0.82</v>
      </c>
      <c r="G58" s="18">
        <v>16644</v>
      </c>
    </row>
    <row r="59" spans="1:7" x14ac:dyDescent="0.25">
      <c r="A59" s="19">
        <f t="shared" si="2"/>
        <v>45778</v>
      </c>
      <c r="B59" s="13" t="s">
        <v>35</v>
      </c>
      <c r="C59" s="11">
        <v>180309.5412408</v>
      </c>
      <c r="D59" s="11">
        <v>82942.388970768006</v>
      </c>
      <c r="E59" s="11">
        <v>97367.152270032006</v>
      </c>
      <c r="F59" s="12">
        <v>0.46</v>
      </c>
      <c r="G59" s="18">
        <v>2774</v>
      </c>
    </row>
    <row r="60" spans="1:7" x14ac:dyDescent="0.25">
      <c r="A60" s="19">
        <f t="shared" ref="A60:A63" si="3">DATE(2025,6,1)</f>
        <v>45809</v>
      </c>
      <c r="B60" s="13" t="s">
        <v>32</v>
      </c>
      <c r="C60" s="11">
        <v>2115030.91875458</v>
      </c>
      <c r="D60" s="11">
        <v>1565122.8798783901</v>
      </c>
      <c r="E60" s="11">
        <v>549908.03887619195</v>
      </c>
      <c r="F60" s="12">
        <v>0.74</v>
      </c>
      <c r="G60" s="18">
        <v>24883</v>
      </c>
    </row>
    <row r="61" spans="1:7" x14ac:dyDescent="0.25">
      <c r="A61" s="19">
        <f t="shared" si="3"/>
        <v>45809</v>
      </c>
      <c r="B61" s="13" t="s">
        <v>33</v>
      </c>
      <c r="C61" s="11">
        <v>1195452.2584265</v>
      </c>
      <c r="D61" s="11">
        <v>765089.44539296301</v>
      </c>
      <c r="E61" s="11">
        <v>430362.81303354102</v>
      </c>
      <c r="F61" s="12">
        <v>0.64</v>
      </c>
      <c r="G61" s="18">
        <v>14064</v>
      </c>
    </row>
    <row r="62" spans="1:7" x14ac:dyDescent="0.25">
      <c r="A62" s="19">
        <f t="shared" si="3"/>
        <v>45809</v>
      </c>
      <c r="B62" s="13" t="s">
        <v>34</v>
      </c>
      <c r="C62" s="11">
        <v>1103494.3923937001</v>
      </c>
      <c r="D62" s="11">
        <v>904865.40176283102</v>
      </c>
      <c r="E62" s="11">
        <v>198628.99063086501</v>
      </c>
      <c r="F62" s="12">
        <v>0.82</v>
      </c>
      <c r="G62" s="18">
        <v>16977</v>
      </c>
    </row>
    <row r="63" spans="1:7" x14ac:dyDescent="0.25">
      <c r="A63" s="19">
        <f t="shared" si="3"/>
        <v>45809</v>
      </c>
      <c r="B63" s="13" t="s">
        <v>35</v>
      </c>
      <c r="C63" s="11">
        <v>183915.732065616</v>
      </c>
      <c r="D63" s="11">
        <v>84601.236750183394</v>
      </c>
      <c r="E63" s="11">
        <v>99314.495315432607</v>
      </c>
      <c r="F63" s="12">
        <v>0.46</v>
      </c>
      <c r="G63" s="18">
        <v>2829</v>
      </c>
    </row>
    <row r="64" spans="1:7" x14ac:dyDescent="0.25">
      <c r="A64" s="19">
        <f t="shared" ref="A64:A67" si="4">DATE(2025,7,1)</f>
        <v>45839</v>
      </c>
      <c r="B64" s="13" t="s">
        <v>32</v>
      </c>
      <c r="C64" s="11">
        <v>2157331.5371296802</v>
      </c>
      <c r="D64" s="11">
        <v>1596425.3374759599</v>
      </c>
      <c r="E64" s="11">
        <v>560906.19965371594</v>
      </c>
      <c r="F64" s="12">
        <v>0.74</v>
      </c>
      <c r="G64" s="18">
        <v>25380</v>
      </c>
    </row>
    <row r="65" spans="1:7" x14ac:dyDescent="0.25">
      <c r="A65" s="19">
        <f t="shared" si="4"/>
        <v>45839</v>
      </c>
      <c r="B65" s="13" t="s">
        <v>33</v>
      </c>
      <c r="C65" s="11">
        <v>1219361.30359503</v>
      </c>
      <c r="D65" s="11">
        <v>780391.23430082202</v>
      </c>
      <c r="E65" s="11">
        <v>438970.06929421303</v>
      </c>
      <c r="F65" s="12">
        <v>0.64</v>
      </c>
      <c r="G65" s="18">
        <v>14345</v>
      </c>
    </row>
    <row r="66" spans="1:7" x14ac:dyDescent="0.25">
      <c r="A66" s="19">
        <f t="shared" si="4"/>
        <v>45839</v>
      </c>
      <c r="B66" s="13" t="s">
        <v>34</v>
      </c>
      <c r="C66" s="11">
        <v>1125564.28024157</v>
      </c>
      <c r="D66" s="11">
        <v>922962.70979808702</v>
      </c>
      <c r="E66" s="11">
        <v>202601.57044348301</v>
      </c>
      <c r="F66" s="12">
        <v>0.82</v>
      </c>
      <c r="G66" s="18">
        <v>17316</v>
      </c>
    </row>
    <row r="67" spans="1:7" x14ac:dyDescent="0.25">
      <c r="A67" s="19">
        <f t="shared" si="4"/>
        <v>45839</v>
      </c>
      <c r="B67" s="13" t="s">
        <v>35</v>
      </c>
      <c r="C67" s="11">
        <v>187594.046706928</v>
      </c>
      <c r="D67" s="11">
        <v>86293.261485187104</v>
      </c>
      <c r="E67" s="11">
        <v>101300.785221741</v>
      </c>
      <c r="F67" s="12">
        <v>0.46</v>
      </c>
      <c r="G67" s="18">
        <v>2886</v>
      </c>
    </row>
    <row r="68" spans="1:7" x14ac:dyDescent="0.25">
      <c r="A68" s="19">
        <f t="shared" ref="A68:A71" si="5">DATE(2025,8,1)</f>
        <v>45870</v>
      </c>
      <c r="B68" s="13" t="s">
        <v>32</v>
      </c>
      <c r="C68" s="11">
        <v>2200478.1678722701</v>
      </c>
      <c r="D68" s="11">
        <v>1628353.84422548</v>
      </c>
      <c r="E68" s="11">
        <v>572124.32364679</v>
      </c>
      <c r="F68" s="12">
        <v>0.74</v>
      </c>
      <c r="G68" s="18">
        <v>25888</v>
      </c>
    </row>
    <row r="69" spans="1:7" x14ac:dyDescent="0.25">
      <c r="A69" s="19">
        <f t="shared" si="5"/>
        <v>45870</v>
      </c>
      <c r="B69" s="13" t="s">
        <v>33</v>
      </c>
      <c r="C69" s="11">
        <v>1243748.52966693</v>
      </c>
      <c r="D69" s="11">
        <v>795999.05898683798</v>
      </c>
      <c r="E69" s="11">
        <v>447749.47068009601</v>
      </c>
      <c r="F69" s="12">
        <v>0.64</v>
      </c>
      <c r="G69" s="18">
        <v>14632</v>
      </c>
    </row>
    <row r="70" spans="1:7" x14ac:dyDescent="0.25">
      <c r="A70" s="19">
        <f t="shared" si="5"/>
        <v>45870</v>
      </c>
      <c r="B70" s="13" t="s">
        <v>34</v>
      </c>
      <c r="C70" s="11">
        <v>1148075.5658464001</v>
      </c>
      <c r="D70" s="11">
        <v>941421.963994049</v>
      </c>
      <c r="E70" s="11">
        <v>206653.601852352</v>
      </c>
      <c r="F70" s="12">
        <v>0.82</v>
      </c>
      <c r="G70" s="18">
        <v>17663</v>
      </c>
    </row>
    <row r="71" spans="1:7" x14ac:dyDescent="0.25">
      <c r="A71" s="19">
        <f t="shared" si="5"/>
        <v>45870</v>
      </c>
      <c r="B71" s="13" t="s">
        <v>35</v>
      </c>
      <c r="C71" s="11">
        <v>191345.92764106701</v>
      </c>
      <c r="D71" s="11">
        <v>88019.126714890706</v>
      </c>
      <c r="E71" s="11">
        <v>103326.800926176</v>
      </c>
      <c r="F71" s="12">
        <v>0.46</v>
      </c>
      <c r="G71" s="18">
        <v>2944</v>
      </c>
    </row>
    <row r="72" spans="1:7" x14ac:dyDescent="0.25">
      <c r="A72" s="19">
        <f t="shared" ref="A72:A75" si="6">DATE(2025,9,1)</f>
        <v>45901</v>
      </c>
      <c r="B72" s="13" t="s">
        <v>32</v>
      </c>
      <c r="C72" s="11">
        <v>2244487.7312297202</v>
      </c>
      <c r="D72" s="11">
        <v>1660920.92110999</v>
      </c>
      <c r="E72" s="11">
        <v>583566.810119726</v>
      </c>
      <c r="F72" s="12">
        <v>0.74</v>
      </c>
      <c r="G72" s="18">
        <v>26406</v>
      </c>
    </row>
    <row r="73" spans="1:7" x14ac:dyDescent="0.25">
      <c r="A73" s="19">
        <f t="shared" si="6"/>
        <v>45901</v>
      </c>
      <c r="B73" s="13" t="s">
        <v>33</v>
      </c>
      <c r="C73" s="11">
        <v>1268623.50026027</v>
      </c>
      <c r="D73" s="11">
        <v>811919.04016657604</v>
      </c>
      <c r="E73" s="11">
        <v>456704.46009369899</v>
      </c>
      <c r="F73" s="12">
        <v>0.64</v>
      </c>
      <c r="G73" s="18">
        <v>14925</v>
      </c>
    </row>
    <row r="74" spans="1:7" x14ac:dyDescent="0.25">
      <c r="A74" s="19">
        <f t="shared" si="6"/>
        <v>45901</v>
      </c>
      <c r="B74" s="13" t="s">
        <v>34</v>
      </c>
      <c r="C74" s="11">
        <v>1171037.07716333</v>
      </c>
      <c r="D74" s="11">
        <v>960250.40327393101</v>
      </c>
      <c r="E74" s="11">
        <v>210786.6738894</v>
      </c>
      <c r="F74" s="12">
        <v>0.82</v>
      </c>
      <c r="G74" s="18">
        <v>18016</v>
      </c>
    </row>
    <row r="75" spans="1:7" x14ac:dyDescent="0.25">
      <c r="A75" s="19">
        <f t="shared" si="6"/>
        <v>45901</v>
      </c>
      <c r="B75" s="13" t="s">
        <v>35</v>
      </c>
      <c r="C75" s="11">
        <v>195172.84619388799</v>
      </c>
      <c r="D75" s="11">
        <v>89779.509249188704</v>
      </c>
      <c r="E75" s="11">
        <v>105393.3369447</v>
      </c>
      <c r="F75" s="12">
        <v>0.46</v>
      </c>
      <c r="G75" s="18">
        <v>3003</v>
      </c>
    </row>
    <row r="76" spans="1:7" x14ac:dyDescent="0.25">
      <c r="A76" s="19">
        <f t="shared" ref="A76:A79" si="7">DATE(2025,10,1)</f>
        <v>45931</v>
      </c>
      <c r="B76" s="13" t="s">
        <v>32</v>
      </c>
      <c r="C76" s="11">
        <v>2289377.48585431</v>
      </c>
      <c r="D76" s="11">
        <v>1694139.33953219</v>
      </c>
      <c r="E76" s="11">
        <v>595238.14632211998</v>
      </c>
      <c r="F76" s="12">
        <v>0.74</v>
      </c>
      <c r="G76" s="18">
        <v>26934</v>
      </c>
    </row>
    <row r="77" spans="1:7" x14ac:dyDescent="0.25">
      <c r="A77" s="19">
        <f t="shared" si="7"/>
        <v>45931</v>
      </c>
      <c r="B77" s="13" t="s">
        <v>33</v>
      </c>
      <c r="C77" s="11">
        <v>1293995.97026548</v>
      </c>
      <c r="D77" s="11">
        <v>828157.42096990696</v>
      </c>
      <c r="E77" s="11">
        <v>465838.54929557198</v>
      </c>
      <c r="F77" s="12">
        <v>0.64</v>
      </c>
      <c r="G77" s="18">
        <v>15223</v>
      </c>
    </row>
    <row r="78" spans="1:7" x14ac:dyDescent="0.25">
      <c r="A78" s="19">
        <f t="shared" si="7"/>
        <v>45931</v>
      </c>
      <c r="B78" s="13" t="s">
        <v>34</v>
      </c>
      <c r="C78" s="11">
        <v>1194457.8187066</v>
      </c>
      <c r="D78" s="11">
        <v>979455.41133940895</v>
      </c>
      <c r="E78" s="11">
        <v>215002.407367187</v>
      </c>
      <c r="F78" s="12">
        <v>0.82</v>
      </c>
      <c r="G78" s="18">
        <v>18376</v>
      </c>
    </row>
    <row r="79" spans="1:7" x14ac:dyDescent="0.25">
      <c r="A79" s="23">
        <f t="shared" si="7"/>
        <v>45931</v>
      </c>
      <c r="B79" s="24" t="s">
        <v>35</v>
      </c>
      <c r="C79" s="11">
        <v>199076.30311776599</v>
      </c>
      <c r="D79" s="11">
        <v>91575.0994341724</v>
      </c>
      <c r="E79" s="11">
        <v>107501.20368359399</v>
      </c>
      <c r="F79" s="12">
        <v>0.46</v>
      </c>
      <c r="G79" s="18">
        <v>3063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A25" sqref="A25"/>
    </sheetView>
  </sheetViews>
  <sheetFormatPr defaultRowHeight="15" customHeight="1" x14ac:dyDescent="0.25"/>
  <cols>
    <col min="1" max="1" width="9.85546875" bestFit="1" customWidth="1"/>
    <col min="2" max="2" width="12.5703125" bestFit="1" customWidth="1"/>
    <col min="3" max="3" width="10.85546875" bestFit="1" customWidth="1"/>
    <col min="4" max="4" width="15.5703125" bestFit="1" customWidth="1"/>
    <col min="5" max="5" width="13.5703125" customWidth="1"/>
    <col min="6" max="6" width="10.85546875" bestFit="1" customWidth="1"/>
    <col min="7" max="7" width="13.5703125" bestFit="1" customWidth="1"/>
    <col min="8" max="8" width="40.5703125" customWidth="1"/>
    <col min="9" max="9" width="36.5703125" bestFit="1" customWidth="1"/>
  </cols>
  <sheetData>
    <row r="1" spans="1:9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I1" s="95"/>
    </row>
    <row r="3" spans="1:9" ht="15.75" x14ac:dyDescent="0.25">
      <c r="A3" s="1" t="s">
        <v>1</v>
      </c>
      <c r="B3" s="1" t="s">
        <v>6</v>
      </c>
      <c r="C3" s="1" t="s">
        <v>36</v>
      </c>
      <c r="D3" s="1" t="s">
        <v>7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9" x14ac:dyDescent="0.25">
      <c r="A4" s="7" t="s">
        <v>41</v>
      </c>
      <c r="B4" s="5">
        <v>4000000</v>
      </c>
      <c r="C4" s="5">
        <v>2240000</v>
      </c>
      <c r="D4" s="5">
        <v>1760000</v>
      </c>
      <c r="E4" s="4">
        <v>0.44</v>
      </c>
      <c r="F4" s="5">
        <v>1040000</v>
      </c>
      <c r="G4" s="5">
        <v>720000</v>
      </c>
      <c r="H4" s="2"/>
    </row>
    <row r="5" spans="1:9" x14ac:dyDescent="0.25">
      <c r="A5" s="7" t="s">
        <v>42</v>
      </c>
      <c r="B5" s="5">
        <v>4060000</v>
      </c>
      <c r="C5" s="5">
        <v>2273600</v>
      </c>
      <c r="D5" s="5">
        <v>1786400</v>
      </c>
      <c r="E5" s="4">
        <v>0.44</v>
      </c>
      <c r="F5" s="5">
        <v>1055600</v>
      </c>
      <c r="G5" s="5">
        <v>730800</v>
      </c>
      <c r="H5" s="2"/>
    </row>
    <row r="6" spans="1:9" x14ac:dyDescent="0.25">
      <c r="A6" s="7" t="s">
        <v>43</v>
      </c>
      <c r="B6" s="5">
        <v>4120900</v>
      </c>
      <c r="C6" s="5">
        <v>2307704</v>
      </c>
      <c r="D6" s="5">
        <v>1813196</v>
      </c>
      <c r="E6" s="4">
        <v>0.44</v>
      </c>
      <c r="F6" s="5">
        <v>1071434</v>
      </c>
      <c r="G6" s="5">
        <v>741762</v>
      </c>
      <c r="H6" s="2"/>
    </row>
    <row r="7" spans="1:9" x14ac:dyDescent="0.25">
      <c r="A7" s="7" t="s">
        <v>44</v>
      </c>
      <c r="B7" s="5">
        <v>4182713</v>
      </c>
      <c r="C7" s="5">
        <v>2342319</v>
      </c>
      <c r="D7" s="5">
        <v>1840394</v>
      </c>
      <c r="E7" s="4">
        <v>0.44000006694219757</v>
      </c>
      <c r="F7" s="5">
        <v>1087505</v>
      </c>
      <c r="G7" s="5">
        <v>752889</v>
      </c>
      <c r="H7" s="2"/>
    </row>
    <row r="8" spans="1:9" x14ac:dyDescent="0.25">
      <c r="A8" s="7" t="s">
        <v>45</v>
      </c>
      <c r="B8" s="5">
        <v>4245454</v>
      </c>
      <c r="C8" s="5">
        <v>2377454</v>
      </c>
      <c r="D8" s="5">
        <v>1868000</v>
      </c>
      <c r="E8" s="4">
        <v>0.4400000565310565</v>
      </c>
      <c r="F8" s="5">
        <v>1103818</v>
      </c>
      <c r="G8" s="5">
        <v>764182</v>
      </c>
      <c r="H8" s="2"/>
    </row>
    <row r="9" spans="1:9" x14ac:dyDescent="0.25">
      <c r="A9" s="7" t="s">
        <v>46</v>
      </c>
      <c r="B9" s="5">
        <v>4309136</v>
      </c>
      <c r="C9" s="5">
        <v>2413116</v>
      </c>
      <c r="D9" s="5">
        <v>1896020</v>
      </c>
      <c r="E9" s="4">
        <v>0.44000003713041314</v>
      </c>
      <c r="F9" s="5">
        <v>1120375</v>
      </c>
      <c r="G9" s="5">
        <v>775645</v>
      </c>
      <c r="H9" s="2"/>
    </row>
    <row r="10" spans="1:9" x14ac:dyDescent="0.25">
      <c r="A10" s="7" t="s">
        <v>47</v>
      </c>
      <c r="B10" s="5">
        <v>4373773</v>
      </c>
      <c r="C10" s="5">
        <v>2449313</v>
      </c>
      <c r="D10" s="5">
        <v>1924460</v>
      </c>
      <c r="E10" s="4">
        <v>0.43999997256373385</v>
      </c>
      <c r="F10" s="5">
        <v>1137181</v>
      </c>
      <c r="G10" s="5">
        <v>787279</v>
      </c>
      <c r="H10" s="2"/>
    </row>
    <row r="11" spans="1:9" x14ac:dyDescent="0.25">
      <c r="A11" s="7" t="s">
        <v>48</v>
      </c>
      <c r="B11" s="5">
        <v>4439380</v>
      </c>
      <c r="C11" s="5">
        <v>2486053</v>
      </c>
      <c r="D11" s="5">
        <v>1953327</v>
      </c>
      <c r="E11" s="4">
        <v>0.43999995494866401</v>
      </c>
      <c r="F11" s="5">
        <v>1154239</v>
      </c>
      <c r="G11" s="5">
        <v>799088</v>
      </c>
      <c r="H11" s="2"/>
    </row>
    <row r="12" spans="1:9" x14ac:dyDescent="0.25">
      <c r="A12" s="7" t="s">
        <v>49</v>
      </c>
      <c r="B12" s="5">
        <v>4731269</v>
      </c>
      <c r="C12" s="5">
        <v>2554885</v>
      </c>
      <c r="D12" s="5">
        <v>2176384</v>
      </c>
      <c r="E12" s="4">
        <v>0.46000005495354418</v>
      </c>
      <c r="F12" s="5">
        <v>1230130</v>
      </c>
      <c r="G12" s="5">
        <v>946254</v>
      </c>
      <c r="H12" s="2" t="s">
        <v>50</v>
      </c>
    </row>
    <row r="13" spans="1:9" x14ac:dyDescent="0.25">
      <c r="A13" s="7" t="s">
        <v>8</v>
      </c>
      <c r="B13" s="5">
        <v>4802238</v>
      </c>
      <c r="C13" s="5">
        <v>2593209</v>
      </c>
      <c r="D13" s="5">
        <v>2209029</v>
      </c>
      <c r="E13" s="4">
        <v>0.45999990004660329</v>
      </c>
      <c r="F13" s="5">
        <v>1248582</v>
      </c>
      <c r="G13" s="5">
        <v>960447</v>
      </c>
      <c r="H13" s="2"/>
    </row>
    <row r="14" spans="1:9" x14ac:dyDescent="0.25">
      <c r="A14" s="7" t="s">
        <v>24</v>
      </c>
      <c r="B14" s="5">
        <v>5751640</v>
      </c>
      <c r="C14" s="5">
        <v>3105886</v>
      </c>
      <c r="D14" s="5">
        <v>2645754</v>
      </c>
      <c r="E14" s="4">
        <v>0.45999993045461818</v>
      </c>
      <c r="F14" s="5">
        <v>1495426</v>
      </c>
      <c r="G14" s="5">
        <v>1150328</v>
      </c>
      <c r="H14" s="2" t="s">
        <v>51</v>
      </c>
    </row>
    <row r="15" spans="1:9" x14ac:dyDescent="0.25">
      <c r="A15" s="7" t="s">
        <v>25</v>
      </c>
      <c r="B15" s="5">
        <v>6678970</v>
      </c>
      <c r="C15" s="5">
        <v>3606644</v>
      </c>
      <c r="D15" s="5">
        <v>3072326</v>
      </c>
      <c r="E15" s="4">
        <v>0.459999970055263</v>
      </c>
      <c r="F15" s="5">
        <v>1736532</v>
      </c>
      <c r="G15" s="5">
        <v>1335794</v>
      </c>
      <c r="H15" s="2" t="s">
        <v>52</v>
      </c>
    </row>
    <row r="16" spans="1:9" x14ac:dyDescent="0.25">
      <c r="A16" s="8">
        <f>DATE(2025,1,1)</f>
        <v>45658</v>
      </c>
      <c r="B16" s="5">
        <v>3808346.15</v>
      </c>
      <c r="C16" s="5">
        <v>2056506.9210000001</v>
      </c>
      <c r="D16" s="5">
        <v>1751839.2290000001</v>
      </c>
      <c r="E16" s="4">
        <v>0.46</v>
      </c>
      <c r="F16" s="5">
        <v>990169.99899999995</v>
      </c>
      <c r="G16" s="5">
        <v>761669.2300000001</v>
      </c>
      <c r="H16" s="2"/>
    </row>
    <row r="17" spans="1:8" x14ac:dyDescent="0.25">
      <c r="A17" s="8">
        <f>DATE(2025,2,1)</f>
        <v>45689</v>
      </c>
      <c r="B17" s="5">
        <v>3868571.03</v>
      </c>
      <c r="C17" s="5">
        <v>2089028.3562</v>
      </c>
      <c r="D17" s="5">
        <v>1779542.6738</v>
      </c>
      <c r="E17" s="4">
        <v>0.46</v>
      </c>
      <c r="F17" s="5">
        <v>1005828.4678</v>
      </c>
      <c r="G17" s="5">
        <v>773714.20600000001</v>
      </c>
      <c r="H17" s="2"/>
    </row>
    <row r="18" spans="1:8" x14ac:dyDescent="0.25">
      <c r="A18" s="14">
        <f>DATE(2025,3,1)</f>
        <v>45717</v>
      </c>
      <c r="B18" s="15">
        <v>4332697.55</v>
      </c>
      <c r="C18" s="15">
        <v>2339656.6770000001</v>
      </c>
      <c r="D18" s="15">
        <v>1993040.8729999999</v>
      </c>
      <c r="E18" s="16">
        <v>0.46</v>
      </c>
      <c r="F18" s="15">
        <v>1126501.3629999999</v>
      </c>
      <c r="G18" s="15">
        <v>866539.51</v>
      </c>
      <c r="H18" s="17" t="s">
        <v>53</v>
      </c>
    </row>
    <row r="19" spans="1:8" x14ac:dyDescent="0.25">
      <c r="A19" s="10">
        <f>DATE(2025,4,1)</f>
        <v>45748</v>
      </c>
      <c r="B19" s="11">
        <v>4419351.5010000002</v>
      </c>
      <c r="C19" s="11">
        <v>2386449.8105400004</v>
      </c>
      <c r="D19" s="11">
        <v>2032901.6904600002</v>
      </c>
      <c r="E19" s="12">
        <v>0.46</v>
      </c>
      <c r="F19" s="11">
        <v>1149031.39026</v>
      </c>
      <c r="G19" s="11">
        <v>883870.30020000017</v>
      </c>
      <c r="H19" s="13"/>
    </row>
    <row r="20" spans="1:8" x14ac:dyDescent="0.25">
      <c r="A20" s="10">
        <f>DATE(2025,5,1)</f>
        <v>45778</v>
      </c>
      <c r="B20" s="11">
        <v>4507738.5310199996</v>
      </c>
      <c r="C20" s="11">
        <v>2434178.8067508</v>
      </c>
      <c r="D20" s="11">
        <v>2073559.7242691999</v>
      </c>
      <c r="E20" s="12">
        <v>0.46</v>
      </c>
      <c r="F20" s="11">
        <v>1172012.0180652</v>
      </c>
      <c r="G20" s="11">
        <v>901547.70620399993</v>
      </c>
      <c r="H20" s="13"/>
    </row>
    <row r="21" spans="1:8" x14ac:dyDescent="0.25">
      <c r="A21" s="10">
        <f>DATE(2025,6,1)</f>
        <v>45809</v>
      </c>
      <c r="B21" s="11">
        <v>4597893.3016403997</v>
      </c>
      <c r="C21" s="11">
        <v>2482862.382885816</v>
      </c>
      <c r="D21" s="11">
        <v>2115030.9187545842</v>
      </c>
      <c r="E21" s="12">
        <v>0.46</v>
      </c>
      <c r="F21" s="11">
        <v>1195452.258426504</v>
      </c>
      <c r="G21" s="11">
        <v>919578.66032808018</v>
      </c>
      <c r="H21" s="13"/>
    </row>
    <row r="22" spans="1:8" x14ac:dyDescent="0.25">
      <c r="A22" s="10">
        <f>DATE(2025,7,1)</f>
        <v>45839</v>
      </c>
      <c r="B22" s="11">
        <v>4689851.1676732097</v>
      </c>
      <c r="C22" s="11">
        <v>2532519.6305435332</v>
      </c>
      <c r="D22" s="11">
        <v>2157331.5371296764</v>
      </c>
      <c r="E22" s="12">
        <v>0.46</v>
      </c>
      <c r="F22" s="11">
        <v>1219361.3035950346</v>
      </c>
      <c r="G22" s="11">
        <v>937970.2335346418</v>
      </c>
      <c r="H22" s="13"/>
    </row>
    <row r="23" spans="1:8" x14ac:dyDescent="0.25">
      <c r="A23" s="10">
        <f>DATE(2025,8,1)</f>
        <v>45870</v>
      </c>
      <c r="B23" s="11">
        <v>4783648.1910266699</v>
      </c>
      <c r="C23" s="11">
        <v>2583170.0231544022</v>
      </c>
      <c r="D23" s="11">
        <v>2200478.1678722682</v>
      </c>
      <c r="E23" s="12">
        <v>0.46</v>
      </c>
      <c r="F23" s="11">
        <v>1243748.5296669342</v>
      </c>
      <c r="G23" s="11">
        <v>956729.63820533408</v>
      </c>
      <c r="H23" s="13"/>
    </row>
    <row r="24" spans="1:8" x14ac:dyDescent="0.25">
      <c r="A24" s="10">
        <f>DATE(2025,9,1)</f>
        <v>45901</v>
      </c>
      <c r="B24" s="11">
        <v>4879321.1548472103</v>
      </c>
      <c r="C24" s="11">
        <v>2634833.4236174938</v>
      </c>
      <c r="D24" s="11">
        <v>2244487.7312297169</v>
      </c>
      <c r="E24" s="12">
        <v>0.46</v>
      </c>
      <c r="F24" s="11">
        <v>1268623.5002602746</v>
      </c>
      <c r="G24" s="11">
        <v>975864.23096944229</v>
      </c>
      <c r="H24" s="13"/>
    </row>
    <row r="25" spans="1:8" x14ac:dyDescent="0.25">
      <c r="A25" s="10">
        <f>DATE(2025,10,1)</f>
        <v>45931</v>
      </c>
      <c r="B25" s="11">
        <v>4976907.5779441502</v>
      </c>
      <c r="C25" s="11">
        <v>2687530.0920898411</v>
      </c>
      <c r="D25" s="11">
        <v>2289377.4858543091</v>
      </c>
      <c r="E25" s="12">
        <v>0.46</v>
      </c>
      <c r="F25" s="11">
        <v>1293995.9702654791</v>
      </c>
      <c r="G25" s="11">
        <v>995381.51558882999</v>
      </c>
      <c r="H25" s="13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CC67-7924-4403-AE11-123BD045ADFC}">
  <dimension ref="A1:N84"/>
  <sheetViews>
    <sheetView topLeftCell="A39" workbookViewId="0">
      <selection activeCell="P5" sqref="P5"/>
    </sheetView>
  </sheetViews>
  <sheetFormatPr defaultRowHeight="15" x14ac:dyDescent="0.25"/>
  <cols>
    <col min="1" max="1" width="27.42578125" bestFit="1" customWidth="1"/>
    <col min="2" max="2" width="21" bestFit="1" customWidth="1"/>
    <col min="3" max="3" width="12.140625" bestFit="1" customWidth="1"/>
    <col min="4" max="4" width="13.7109375" bestFit="1" customWidth="1"/>
    <col min="5" max="5" width="15.85546875" bestFit="1" customWidth="1"/>
    <col min="6" max="6" width="13.5703125" bestFit="1" customWidth="1"/>
    <col min="7" max="7" width="14.85546875" bestFit="1" customWidth="1"/>
    <col min="8" max="8" width="19" customWidth="1"/>
    <col min="9" max="9" width="14" bestFit="1" customWidth="1"/>
    <col min="10" max="10" width="25.85546875" bestFit="1" customWidth="1"/>
    <col min="11" max="11" width="21" bestFit="1" customWidth="1"/>
    <col min="12" max="12" width="9.5703125" bestFit="1" customWidth="1"/>
    <col min="13" max="13" width="10.28515625" bestFit="1" customWidth="1"/>
    <col min="14" max="14" width="10.7109375" bestFit="1" customWidth="1"/>
  </cols>
  <sheetData>
    <row r="1" spans="1:14" ht="36" customHeight="1" x14ac:dyDescent="0.25">
      <c r="A1" s="96" t="s">
        <v>55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x14ac:dyDescent="0.25">
      <c r="A2" s="97" t="s">
        <v>56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</row>
    <row r="3" spans="1:14" x14ac:dyDescent="0.25">
      <c r="A3" s="98" t="s">
        <v>57</v>
      </c>
      <c r="B3" s="98"/>
      <c r="C3" s="31"/>
      <c r="D3" s="98" t="s">
        <v>58</v>
      </c>
      <c r="E3" s="98"/>
      <c r="F3" s="31"/>
      <c r="G3" s="98" t="s">
        <v>59</v>
      </c>
      <c r="H3" s="98"/>
      <c r="I3" s="31"/>
      <c r="J3" s="98" t="s">
        <v>60</v>
      </c>
      <c r="K3" s="98"/>
      <c r="L3" s="31"/>
      <c r="M3" s="98" t="s">
        <v>61</v>
      </c>
      <c r="N3" s="98"/>
    </row>
    <row r="4" spans="1:14" ht="23.25" x14ac:dyDescent="0.35">
      <c r="A4" s="99">
        <f>SUM('Monthly Financial Data'!B16:B25)</f>
        <v>44864326.155151643</v>
      </c>
      <c r="B4" s="99"/>
      <c r="C4" s="32"/>
      <c r="D4" s="99">
        <f>SUM('Monthly Financial Data'!G16:G25)</f>
        <v>8972865.2310303282</v>
      </c>
      <c r="E4" s="99"/>
      <c r="F4" s="32"/>
      <c r="G4" s="100">
        <f>AVERAGE('Monthly Financial Data'!E16:E25)</f>
        <v>0.46000000000000008</v>
      </c>
      <c r="H4" s="100"/>
      <c r="I4" s="32"/>
      <c r="J4" s="101">
        <f>SUM('Product Categories'!D43:D172)</f>
        <v>744799</v>
      </c>
      <c r="K4" s="101"/>
      <c r="L4" s="32"/>
      <c r="M4" s="101">
        <f>SUM('Regional Sales'!G40:G79)</f>
        <v>573290</v>
      </c>
      <c r="N4" s="101"/>
    </row>
    <row r="5" spans="1:14" ht="8.1" customHeight="1" x14ac:dyDescent="0.25"/>
    <row r="6" spans="1:14" x14ac:dyDescent="0.25">
      <c r="A6" s="102" t="s">
        <v>62</v>
      </c>
      <c r="B6" s="102"/>
      <c r="C6" s="102"/>
      <c r="D6" s="102"/>
      <c r="E6" s="102"/>
      <c r="F6" s="102"/>
      <c r="H6" s="102" t="s">
        <v>65</v>
      </c>
      <c r="I6" s="102"/>
      <c r="J6" s="102"/>
      <c r="K6" s="102"/>
      <c r="L6" s="102"/>
      <c r="M6" s="102"/>
      <c r="N6" s="102"/>
    </row>
    <row r="7" spans="1:14" x14ac:dyDescent="0.25">
      <c r="A7" s="52" t="s">
        <v>1</v>
      </c>
      <c r="B7" s="53" t="s">
        <v>6</v>
      </c>
      <c r="C7" s="53" t="s">
        <v>36</v>
      </c>
      <c r="D7" s="53" t="s">
        <v>7</v>
      </c>
      <c r="E7" s="53" t="s">
        <v>39</v>
      </c>
      <c r="F7" s="54" t="s">
        <v>63</v>
      </c>
      <c r="H7" s="52" t="s">
        <v>26</v>
      </c>
      <c r="I7" s="53" t="s">
        <v>27</v>
      </c>
      <c r="J7" s="53" t="s">
        <v>66</v>
      </c>
      <c r="K7" s="53" t="s">
        <v>67</v>
      </c>
      <c r="L7" s="53" t="s">
        <v>30</v>
      </c>
      <c r="M7" s="53" t="s">
        <v>68</v>
      </c>
      <c r="N7" s="54" t="s">
        <v>69</v>
      </c>
    </row>
    <row r="8" spans="1:14" x14ac:dyDescent="0.25">
      <c r="A8" s="50">
        <v>45658</v>
      </c>
      <c r="B8" s="55">
        <f>'Monthly Financial Data'!B16</f>
        <v>3808346.15</v>
      </c>
      <c r="C8" s="55">
        <f>'Monthly Financial Data'!C16</f>
        <v>2056506.9210000001</v>
      </c>
      <c r="D8" s="55">
        <f>'Monthly Financial Data'!D16</f>
        <v>1751839.2290000001</v>
      </c>
      <c r="E8" s="55">
        <f>'Monthly Financial Data'!G16</f>
        <v>761669.2300000001</v>
      </c>
      <c r="F8" s="56">
        <f>'Monthly Financial Data'!E16</f>
        <v>0.46</v>
      </c>
      <c r="H8" s="68" t="s">
        <v>32</v>
      </c>
      <c r="I8" s="55">
        <f>SUMIFS('Regional Sales'!C4:C79,'Regional Sales'!B4:B79,H8,'Regional Sales'!A4:A79,"&gt;="&amp;DATE(2025,1,1))</f>
        <v>20637590.031369761</v>
      </c>
      <c r="J8" s="55">
        <f>SUMIFS('Regional Sales'!D4:D79,'Regional Sales'!B4:B79,H8,'Regional Sales'!A4:A79,"&gt;="&amp;DATE(2025,1,1))</f>
        <v>15271816.623213619</v>
      </c>
      <c r="K8" s="55">
        <f>SUMIFS('Regional Sales'!E4:E79,'Regional Sales'!B4:B79,H8,'Regional Sales'!A4:A79,"&gt;="&amp;DATE(2025,1,1))</f>
        <v>5365773.4081561361</v>
      </c>
      <c r="L8" s="61">
        <f>IF(I8=0,"",J8/I8)</f>
        <v>0.73999999999999977</v>
      </c>
      <c r="M8" s="62">
        <f>SUMIFS('Regional Sales'!G4:G79,'Regional Sales'!B4:B79,H8,'Regional Sales'!A4:A79,"&gt;="&amp;DATE(2025,1,1))</f>
        <v>242796</v>
      </c>
      <c r="N8" s="56">
        <f>IF(SUM(I8:I11)=0,"",I8/SUM(I8:I11))</f>
        <v>0.46000000000000019</v>
      </c>
    </row>
    <row r="9" spans="1:14" x14ac:dyDescent="0.25">
      <c r="A9" s="51">
        <v>45689</v>
      </c>
      <c r="B9" s="57">
        <f>'Monthly Financial Data'!B17</f>
        <v>3868571.03</v>
      </c>
      <c r="C9" s="57">
        <f>'Monthly Financial Data'!C17</f>
        <v>2089028.3562</v>
      </c>
      <c r="D9" s="57">
        <f>'Monthly Financial Data'!D17</f>
        <v>1779542.6738</v>
      </c>
      <c r="E9" s="57">
        <f>'Monthly Financial Data'!G17</f>
        <v>773714.20600000001</v>
      </c>
      <c r="F9" s="58">
        <f>'Monthly Financial Data'!E17</f>
        <v>0.46</v>
      </c>
      <c r="H9" s="69" t="s">
        <v>33</v>
      </c>
      <c r="I9" s="57">
        <f>SUMIFS('Regional Sales'!C4:C79,'Regional Sales'!B4:B79,H9,'Regional Sales'!A4:A79,"&gt;="&amp;DATE(2025,1,1))</f>
        <v>11664724.800339408</v>
      </c>
      <c r="J9" s="57">
        <f>SUMIFS('Regional Sales'!D4:D79,'Regional Sales'!B4:B79,H9,'Regional Sales'!A4:A79,"&gt;="&amp;DATE(2025,1,1))</f>
        <v>7465423.8722172342</v>
      </c>
      <c r="K9" s="57">
        <f>SUMIFS('Regional Sales'!E4:E79,'Regional Sales'!B4:B79,H9,'Regional Sales'!A4:A79,"&gt;="&amp;DATE(2025,1,1))</f>
        <v>4199300.9281221926</v>
      </c>
      <c r="L9" s="63">
        <f>IF(I9=0,"",J9/I9)</f>
        <v>0.64000000000000112</v>
      </c>
      <c r="M9" s="64">
        <f>SUMIFS('Regional Sales'!G4:G79,'Regional Sales'!B4:B79,H9,'Regional Sales'!A4:A79,"&gt;="&amp;DATE(2025,1,1))</f>
        <v>137230</v>
      </c>
      <c r="N9" s="58">
        <f>IF(SUM(I8:I11)=0,"",I9/SUM(I8:I11))</f>
        <v>0.25999999999999962</v>
      </c>
    </row>
    <row r="10" spans="1:14" x14ac:dyDescent="0.25">
      <c r="A10" s="50">
        <v>45717</v>
      </c>
      <c r="B10" s="55">
        <f>'Monthly Financial Data'!B18</f>
        <v>4332697.55</v>
      </c>
      <c r="C10" s="55">
        <f>'Monthly Financial Data'!C18</f>
        <v>2339656.6770000001</v>
      </c>
      <c r="D10" s="55">
        <f>'Monthly Financial Data'!D18</f>
        <v>1993040.8729999999</v>
      </c>
      <c r="E10" s="55">
        <f>'Monthly Financial Data'!G18</f>
        <v>866539.51</v>
      </c>
      <c r="F10" s="56">
        <f>'Monthly Financial Data'!E18</f>
        <v>0.46</v>
      </c>
      <c r="H10" s="68" t="s">
        <v>34</v>
      </c>
      <c r="I10" s="55">
        <f>SUMIFS('Regional Sales'!C4:C79,'Regional Sales'!B4:B79,H10,'Regional Sales'!A4:A79,"&gt;="&amp;DATE(2025,1,1))</f>
        <v>10767438.2772364</v>
      </c>
      <c r="J10" s="55">
        <f>SUMIFS('Regional Sales'!D4:D79,'Regional Sales'!B4:B79,H10,'Regional Sales'!A4:A79,"&gt;="&amp;DATE(2025,1,1))</f>
        <v>8829299.3873338439</v>
      </c>
      <c r="K10" s="55">
        <f>SUMIFS('Regional Sales'!E4:E79,'Regional Sales'!B4:B79,H10,'Regional Sales'!A4:A79,"&gt;="&amp;DATE(2025,1,1))</f>
        <v>1938138.8899025512</v>
      </c>
      <c r="L10" s="61">
        <f>IF(I10=0,"",J10/I10)</f>
        <v>0.81999999999999962</v>
      </c>
      <c r="M10" s="62">
        <f>SUMIFS('Regional Sales'!G4:G79,'Regional Sales'!B4:B79,H10,'Regional Sales'!A4:A79,"&gt;="&amp;DATE(2025,1,1))</f>
        <v>165654</v>
      </c>
      <c r="N10" s="56">
        <f>IF(SUM(I8:I11)=0,"",I10/SUM(I8:I11))</f>
        <v>0.24000000000000016</v>
      </c>
    </row>
    <row r="11" spans="1:14" x14ac:dyDescent="0.25">
      <c r="A11" s="51">
        <v>45748</v>
      </c>
      <c r="B11" s="57">
        <f>'Monthly Financial Data'!B19</f>
        <v>4419351.5010000002</v>
      </c>
      <c r="C11" s="57">
        <f>'Monthly Financial Data'!C19</f>
        <v>2386449.8105400004</v>
      </c>
      <c r="D11" s="57">
        <f>'Monthly Financial Data'!D19</f>
        <v>2032901.6904600002</v>
      </c>
      <c r="E11" s="57">
        <f>'Monthly Financial Data'!G19</f>
        <v>883870.30020000017</v>
      </c>
      <c r="F11" s="58">
        <f>'Monthly Financial Data'!E19</f>
        <v>0.46</v>
      </c>
      <c r="H11" s="69" t="s">
        <v>35</v>
      </c>
      <c r="I11" s="57">
        <f>SUMIFS('Regional Sales'!C4:C79,'Regional Sales'!B4:B79,H11,'Regional Sales'!A4:A79,"&gt;="&amp;DATE(2025,1,1))</f>
        <v>1794573.0462060648</v>
      </c>
      <c r="J11" s="57">
        <f>SUMIFS('Regional Sales'!D4:D79,'Regional Sales'!B4:B79,H11,'Regional Sales'!A4:A79,"&gt;="&amp;DATE(2025,1,1))</f>
        <v>825503.60125479032</v>
      </c>
      <c r="K11" s="57">
        <f>SUMIFS('Regional Sales'!E4:E79,'Regional Sales'!B4:B79,H11,'Regional Sales'!A4:A79,"&gt;="&amp;DATE(2025,1,1))</f>
        <v>969069.4449512756</v>
      </c>
      <c r="L11" s="63">
        <f>IF(I11=0,"",J11/I11)</f>
        <v>0.4600000000000003</v>
      </c>
      <c r="M11" s="64">
        <f>SUMIFS('Regional Sales'!G4:G79,'Regional Sales'!B4:B79,H11,'Regional Sales'!A4:A79,"&gt;="&amp;DATE(2025,1,1))</f>
        <v>27610</v>
      </c>
      <c r="N11" s="58">
        <f>IF(SUM(I8:I11)=0,"",I11/SUM(I8:I11))</f>
        <v>3.9999999999999987E-2</v>
      </c>
    </row>
    <row r="12" spans="1:14" x14ac:dyDescent="0.25">
      <c r="A12" s="50">
        <v>45778</v>
      </c>
      <c r="B12" s="55">
        <f>'Monthly Financial Data'!B20</f>
        <v>4507738.5310199996</v>
      </c>
      <c r="C12" s="55">
        <f>'Monthly Financial Data'!C20</f>
        <v>2434178.8067508</v>
      </c>
      <c r="D12" s="55">
        <f>'Monthly Financial Data'!D20</f>
        <v>2073559.7242691999</v>
      </c>
      <c r="E12" s="55">
        <f>'Monthly Financial Data'!G20</f>
        <v>901547.70620399993</v>
      </c>
      <c r="F12" s="56">
        <f>'Monthly Financial Data'!E20</f>
        <v>0.46</v>
      </c>
      <c r="H12" s="70" t="s">
        <v>70</v>
      </c>
      <c r="I12" s="59">
        <f>SUM(I8:I11)</f>
        <v>44864326.155151635</v>
      </c>
      <c r="J12" s="59">
        <f>SUM(J8:J11)</f>
        <v>32392043.484019488</v>
      </c>
      <c r="K12" s="59">
        <f>SUM(K8:K11)</f>
        <v>12472282.671132155</v>
      </c>
      <c r="L12" s="65">
        <f>IF(I12=0,"",J12/I12)</f>
        <v>0.7220000000000002</v>
      </c>
      <c r="M12" s="66">
        <f>SUM(M8:M11)</f>
        <v>573290</v>
      </c>
      <c r="N12" s="67">
        <v>1</v>
      </c>
    </row>
    <row r="13" spans="1:14" x14ac:dyDescent="0.25">
      <c r="A13" s="51">
        <v>45809</v>
      </c>
      <c r="B13" s="57">
        <f>'Monthly Financial Data'!B21</f>
        <v>4597893.3016403997</v>
      </c>
      <c r="C13" s="57">
        <f>'Monthly Financial Data'!C21</f>
        <v>2482862.382885816</v>
      </c>
      <c r="D13" s="57">
        <f>'Monthly Financial Data'!D21</f>
        <v>2115030.9187545842</v>
      </c>
      <c r="E13" s="57">
        <f>'Monthly Financial Data'!G21</f>
        <v>919578.66032808018</v>
      </c>
      <c r="F13" s="58">
        <f>'Monthly Financial Data'!E21</f>
        <v>0.46</v>
      </c>
    </row>
    <row r="14" spans="1:14" x14ac:dyDescent="0.25">
      <c r="A14" s="50">
        <v>45839</v>
      </c>
      <c r="B14" s="55">
        <f>'Monthly Financial Data'!B22</f>
        <v>4689851.1676732097</v>
      </c>
      <c r="C14" s="55">
        <f>'Monthly Financial Data'!C22</f>
        <v>2532519.6305435332</v>
      </c>
      <c r="D14" s="55">
        <f>'Monthly Financial Data'!D22</f>
        <v>2157331.5371296764</v>
      </c>
      <c r="E14" s="55">
        <f>'Monthly Financial Data'!G22</f>
        <v>937970.2335346418</v>
      </c>
      <c r="F14" s="56">
        <f>'Monthly Financial Data'!E22</f>
        <v>0.46</v>
      </c>
    </row>
    <row r="15" spans="1:14" x14ac:dyDescent="0.25">
      <c r="A15" s="51">
        <v>45870</v>
      </c>
      <c r="B15" s="57">
        <f>'Monthly Financial Data'!B23</f>
        <v>4783648.1910266699</v>
      </c>
      <c r="C15" s="57">
        <f>'Monthly Financial Data'!C23</f>
        <v>2583170.0231544022</v>
      </c>
      <c r="D15" s="57">
        <f>'Monthly Financial Data'!D23</f>
        <v>2200478.1678722682</v>
      </c>
      <c r="E15" s="57">
        <f>'Monthly Financial Data'!G23</f>
        <v>956729.63820533408</v>
      </c>
      <c r="F15" s="58">
        <f>'Monthly Financial Data'!E23</f>
        <v>0.46</v>
      </c>
    </row>
    <row r="16" spans="1:14" x14ac:dyDescent="0.25">
      <c r="A16" s="50">
        <v>45901</v>
      </c>
      <c r="B16" s="55">
        <f>'Monthly Financial Data'!B24</f>
        <v>4879321.1548472103</v>
      </c>
      <c r="C16" s="55">
        <f>'Monthly Financial Data'!C24</f>
        <v>2634833.4236174938</v>
      </c>
      <c r="D16" s="55">
        <f>'Monthly Financial Data'!D24</f>
        <v>2244487.7312297169</v>
      </c>
      <c r="E16" s="55">
        <f>'Monthly Financial Data'!G24</f>
        <v>975864.23096944229</v>
      </c>
      <c r="F16" s="56">
        <f>'Monthly Financial Data'!E24</f>
        <v>0.46</v>
      </c>
    </row>
    <row r="17" spans="1:14" x14ac:dyDescent="0.25">
      <c r="A17" s="51">
        <v>45931</v>
      </c>
      <c r="B17" s="57">
        <f>'Monthly Financial Data'!B25</f>
        <v>4976907.5779441502</v>
      </c>
      <c r="C17" s="57">
        <f>'Monthly Financial Data'!C25</f>
        <v>2687530.0920898411</v>
      </c>
      <c r="D17" s="57">
        <f>'Monthly Financial Data'!D25</f>
        <v>2289377.4858543091</v>
      </c>
      <c r="E17" s="57">
        <f>'Monthly Financial Data'!G25</f>
        <v>995381.51558882999</v>
      </c>
      <c r="F17" s="58">
        <f>'Monthly Financial Data'!E25</f>
        <v>0.46</v>
      </c>
    </row>
    <row r="18" spans="1:14" x14ac:dyDescent="0.25">
      <c r="A18" s="35" t="s">
        <v>64</v>
      </c>
      <c r="B18" s="59">
        <f>SUM(B8:B17)</f>
        <v>44864326.155151643</v>
      </c>
      <c r="C18" s="59">
        <f>SUM(C8:C17)</f>
        <v>24226736.12378189</v>
      </c>
      <c r="D18" s="59">
        <f>SUM(D8:D17)</f>
        <v>20637590.031369753</v>
      </c>
      <c r="E18" s="59">
        <f>SUM(E8:E17)</f>
        <v>8972865.2310303282</v>
      </c>
      <c r="F18" s="60">
        <f>AVERAGE(F8:F17)</f>
        <v>0.46000000000000008</v>
      </c>
    </row>
    <row r="19" spans="1:14" ht="8.1" customHeight="1" x14ac:dyDescent="0.25"/>
    <row r="20" spans="1:14" x14ac:dyDescent="0.25">
      <c r="A20" s="102" t="s">
        <v>71</v>
      </c>
      <c r="B20" s="102"/>
      <c r="C20" s="102"/>
      <c r="D20" s="102"/>
      <c r="E20" s="102"/>
      <c r="F20" s="102"/>
      <c r="G20" s="102"/>
      <c r="I20" s="102" t="s">
        <v>75</v>
      </c>
      <c r="J20" s="102"/>
      <c r="K20" s="102"/>
      <c r="L20" s="102"/>
      <c r="M20" s="102"/>
      <c r="N20" s="102"/>
    </row>
    <row r="21" spans="1:14" x14ac:dyDescent="0.25">
      <c r="A21" s="52" t="s">
        <v>3</v>
      </c>
      <c r="B21" s="53" t="s">
        <v>2</v>
      </c>
      <c r="C21" s="53" t="s">
        <v>54</v>
      </c>
      <c r="D21" s="53" t="s">
        <v>27</v>
      </c>
      <c r="E21" s="53" t="s">
        <v>72</v>
      </c>
      <c r="F21" s="53" t="s">
        <v>73</v>
      </c>
      <c r="G21" s="54" t="s">
        <v>74</v>
      </c>
      <c r="I21" s="52" t="s">
        <v>76</v>
      </c>
      <c r="J21" s="53" t="s">
        <v>9</v>
      </c>
      <c r="K21" s="53" t="s">
        <v>77</v>
      </c>
      <c r="L21" s="53" t="s">
        <v>78</v>
      </c>
      <c r="M21" s="53" t="s">
        <v>79</v>
      </c>
      <c r="N21" s="54" t="s">
        <v>80</v>
      </c>
    </row>
    <row r="22" spans="1:14" x14ac:dyDescent="0.25">
      <c r="A22" s="36" t="s">
        <v>10</v>
      </c>
      <c r="B22" s="38" t="s">
        <v>9</v>
      </c>
      <c r="C22" s="62">
        <f>SUMIFS('Product Categories'!D43:D172,'Product Categories'!C43:C172,A22)</f>
        <v>45653</v>
      </c>
      <c r="D22" s="55">
        <f>SUMIFS('Product Categories'!F43:F172,'Product Categories'!C43:C172,A22)</f>
        <v>6288478.3159627803</v>
      </c>
      <c r="E22" s="55">
        <f>SUMIFS('Product Categories'!G43:G172,'Product Categories'!C43:C172,A22)</f>
        <v>3270008.7243006462</v>
      </c>
      <c r="F22" s="71">
        <f t="shared" ref="F22:F35" si="0">IFERROR(D22/C22,0)</f>
        <v>137.74512772354018</v>
      </c>
      <c r="G22" s="56">
        <f>IFERROR(D22/SUM(D22:D34),0)</f>
        <v>0.14016656116076967</v>
      </c>
      <c r="I22" s="36" t="s">
        <v>4</v>
      </c>
      <c r="J22" s="62">
        <f>SUMIFS('Product Categories'!D43:D172,'Product Categories'!B43:B172,"Smart Fabric")</f>
        <v>264524</v>
      </c>
      <c r="K22" s="62">
        <f>SUMIFS('Product Categories'!D43:D172,'Product Categories'!B43:B172,"Traditional Athletic Wear")</f>
        <v>480275</v>
      </c>
      <c r="L22" s="61">
        <f>IFERROR(J22/(J22+K22),0)</f>
        <v>0.3551615939333968</v>
      </c>
      <c r="M22" s="61">
        <f>IFERROR(K22/(J22+K22),0)</f>
        <v>0.64483840606660325</v>
      </c>
      <c r="N22" s="74">
        <f>J22+K22</f>
        <v>744799</v>
      </c>
    </row>
    <row r="23" spans="1:14" x14ac:dyDescent="0.25">
      <c r="A23" s="37" t="s">
        <v>11</v>
      </c>
      <c r="B23" s="39" t="s">
        <v>9</v>
      </c>
      <c r="C23" s="64">
        <f>SUMIFS('Product Categories'!D43:D172,'Product Categories'!C43:C172,A23)</f>
        <v>29668</v>
      </c>
      <c r="D23" s="57">
        <f>SUMIFS('Product Categories'!F43:F172,'Product Categories'!C43:C172,A23)</f>
        <v>5029748.6668426655</v>
      </c>
      <c r="E23" s="57">
        <f>SUMIFS('Product Categories'!G43:G172,'Product Categories'!C43:C172,A23)</f>
        <v>2615469.3067581868</v>
      </c>
      <c r="F23" s="72">
        <f t="shared" si="0"/>
        <v>169.53447036681493</v>
      </c>
      <c r="G23" s="58">
        <f>IFERROR(D23/SUM(D22:D34),0)</f>
        <v>0.11211020197759317</v>
      </c>
      <c r="I23" s="37" t="s">
        <v>6</v>
      </c>
      <c r="J23" s="57">
        <f>SUMIFS('Product Categories'!F43:F172,'Product Categories'!B43:B172,"Smart Fabric")</f>
        <v>31320345.171072599</v>
      </c>
      <c r="K23" s="57">
        <f>SUMIFS('Product Categories'!F43:F172,'Product Categories'!B43:B172,"Traditional Athletic Wear")</f>
        <v>13543980.984079037</v>
      </c>
      <c r="L23" s="63">
        <f>IFERROR(J23/(J23+K23),0)</f>
        <v>0.69811246161949048</v>
      </c>
      <c r="M23" s="63">
        <f>IFERROR(K23/(J23+K23),0)</f>
        <v>0.30188753838050952</v>
      </c>
      <c r="N23" s="75">
        <f>J23+K23</f>
        <v>44864326.155151635</v>
      </c>
    </row>
    <row r="24" spans="1:14" x14ac:dyDescent="0.25">
      <c r="A24" s="36" t="s">
        <v>12</v>
      </c>
      <c r="B24" s="38" t="s">
        <v>9</v>
      </c>
      <c r="C24" s="62">
        <f>SUMIFS('Product Categories'!D43:D172,'Product Categories'!C43:C172,A24)</f>
        <v>47480</v>
      </c>
      <c r="D24" s="55">
        <f>SUMIFS('Product Categories'!F43:F172,'Product Categories'!C43:C172,A24)</f>
        <v>4527635.0688388934</v>
      </c>
      <c r="E24" s="55">
        <f>SUMIFS('Product Categories'!G43:G172,'Product Categories'!C43:C172,A24)</f>
        <v>2354370.2357962243</v>
      </c>
      <c r="F24" s="71">
        <f t="shared" si="0"/>
        <v>95.35878409517467</v>
      </c>
      <c r="G24" s="56">
        <f>IFERROR(D24/SUM(D22:D34),0)</f>
        <v>0.10091837896285887</v>
      </c>
      <c r="I24" s="36" t="s">
        <v>7</v>
      </c>
      <c r="J24" s="55">
        <f>SUMIFS('Product Categories'!G43:G172,'Product Categories'!B43:B172,"Smart Fabric")</f>
        <v>16654036.755395025</v>
      </c>
      <c r="K24" s="55">
        <f>SUMIFS('Product Categories'!G43:G172,'Product Categories'!B43:B172,"Traditional Athletic Wear")</f>
        <v>4875833.154268452</v>
      </c>
      <c r="L24" s="61">
        <f>IFERROR(J24/(J24+K24),0)</f>
        <v>0.7735316945839984</v>
      </c>
      <c r="M24" s="61">
        <f>IFERROR(K24/(J24+K24),0)</f>
        <v>0.22646830541600166</v>
      </c>
      <c r="N24" s="76">
        <f>J24+K24</f>
        <v>21529869.909663476</v>
      </c>
    </row>
    <row r="25" spans="1:14" x14ac:dyDescent="0.25">
      <c r="A25" s="37" t="s">
        <v>13</v>
      </c>
      <c r="B25" s="39" t="s">
        <v>9</v>
      </c>
      <c r="C25" s="64">
        <f>SUMIFS('Product Categories'!D43:D172,'Product Categories'!C43:C172,A25)</f>
        <v>44511</v>
      </c>
      <c r="D25" s="57">
        <f>SUMIFS('Product Categories'!F43:F172,'Product Categories'!C43:C172,A25)</f>
        <v>3772842.2576210462</v>
      </c>
      <c r="E25" s="57">
        <f>SUMIFS('Product Categories'!G43:G172,'Product Categories'!C43:C172,A25)</f>
        <v>1961877.973962944</v>
      </c>
      <c r="F25" s="72">
        <f t="shared" si="0"/>
        <v>84.762019672014702</v>
      </c>
      <c r="G25" s="58">
        <f>IFERROR(D25/SUM(D22:D34),0)</f>
        <v>8.4094481762049644E-2</v>
      </c>
      <c r="I25" s="37" t="s">
        <v>73</v>
      </c>
      <c r="J25" s="72">
        <f>IFERROR(J23/J22,0)</f>
        <v>118.40265976271567</v>
      </c>
      <c r="K25" s="72">
        <f>IFERROR(K23/K22,0)</f>
        <v>28.200470530589843</v>
      </c>
      <c r="L25" s="77" t="s">
        <v>81</v>
      </c>
      <c r="M25" s="77" t="s">
        <v>81</v>
      </c>
      <c r="N25" s="78">
        <f>IFERROR(N23/N22,0)</f>
        <v>60.236823834553533</v>
      </c>
    </row>
    <row r="26" spans="1:14" x14ac:dyDescent="0.25">
      <c r="A26" s="36" t="s">
        <v>14</v>
      </c>
      <c r="B26" s="38" t="s">
        <v>9</v>
      </c>
      <c r="C26" s="62">
        <f>SUMIFS('Product Categories'!D43:D172,'Product Categories'!C43:C172,A26)</f>
        <v>37857</v>
      </c>
      <c r="D26" s="55">
        <f>SUMIFS('Product Categories'!F43:F172,'Product Categories'!C43:C172,A26)</f>
        <v>9186431.6609317958</v>
      </c>
      <c r="E26" s="55">
        <f>SUMIFS('Product Categories'!G43:G172,'Product Categories'!C43:C172,A26)</f>
        <v>5144401.7301218063</v>
      </c>
      <c r="F26" s="71">
        <f t="shared" si="0"/>
        <v>242.66137467131034</v>
      </c>
      <c r="G26" s="56">
        <f>IFERROR(D26/SUM(D22:D34),0)</f>
        <v>0.20476027276466618</v>
      </c>
      <c r="I26" s="41" t="s">
        <v>82</v>
      </c>
      <c r="J26" s="79">
        <f>IFERROR(J24/J23,0)</f>
        <v>0.5317322227590473</v>
      </c>
      <c r="K26" s="79">
        <f>IFERROR(K24/K23,0)</f>
        <v>0.35999999999999993</v>
      </c>
      <c r="L26" s="80" t="s">
        <v>81</v>
      </c>
      <c r="M26" s="80" t="s">
        <v>81</v>
      </c>
      <c r="N26" s="81">
        <f>IFERROR(N24/N23,0)</f>
        <v>0.47988840476970512</v>
      </c>
    </row>
    <row r="27" spans="1:14" x14ac:dyDescent="0.25">
      <c r="A27" s="37" t="s">
        <v>15</v>
      </c>
      <c r="B27" s="39" t="s">
        <v>9</v>
      </c>
      <c r="C27" s="64">
        <f>SUMIFS('Product Categories'!D43:D172,'Product Categories'!C43:C172,A27)</f>
        <v>59355</v>
      </c>
      <c r="D27" s="57">
        <f>SUMIFS('Product Categories'!F43:F172,'Product Categories'!C43:C172,A27)</f>
        <v>2515209.2008754183</v>
      </c>
      <c r="E27" s="57">
        <f>SUMIFS('Product Categories'!G43:G172,'Product Categories'!C43:C172,A27)</f>
        <v>1307908.7844552179</v>
      </c>
      <c r="F27" s="72">
        <f t="shared" si="0"/>
        <v>42.375692037324882</v>
      </c>
      <c r="G27" s="58">
        <f>IFERROR(D27/SUM(D22:D34),0)</f>
        <v>5.6062564991552967E-2</v>
      </c>
    </row>
    <row r="28" spans="1:14" x14ac:dyDescent="0.25">
      <c r="A28" s="36" t="s">
        <v>17</v>
      </c>
      <c r="B28" s="38" t="s">
        <v>16</v>
      </c>
      <c r="C28" s="62">
        <f>SUMIFS('Product Categories'!D43:D172,'Product Categories'!C43:C172,A28)</f>
        <v>85240</v>
      </c>
      <c r="D28" s="55">
        <f>SUMIFS('Product Categories'!F43:F172,'Product Categories'!C43:C172,A28)</f>
        <v>2708853.9183339025</v>
      </c>
      <c r="E28" s="55">
        <f>SUMIFS('Product Categories'!G43:G172,'Product Categories'!C43:C172,A28)</f>
        <v>975187.41060020495</v>
      </c>
      <c r="F28" s="71">
        <f t="shared" si="0"/>
        <v>31.779140290167792</v>
      </c>
      <c r="G28" s="56">
        <f>IFERROR(D28/SUM(D22:D34),0)</f>
        <v>6.0378794255507899E-2</v>
      </c>
      <c r="I28" s="102" t="s">
        <v>85</v>
      </c>
      <c r="J28" s="102"/>
      <c r="K28" s="102"/>
      <c r="L28" s="102"/>
      <c r="M28" s="102"/>
      <c r="N28" s="102"/>
    </row>
    <row r="29" spans="1:14" x14ac:dyDescent="0.25">
      <c r="A29" s="37" t="s">
        <v>18</v>
      </c>
      <c r="B29" s="39" t="s">
        <v>16</v>
      </c>
      <c r="C29" s="64">
        <f>SUMIFS('Product Categories'!D43:D172,'Product Categories'!C43:C172,A29)</f>
        <v>46024</v>
      </c>
      <c r="D29" s="57">
        <f>SUMIFS('Product Categories'!F43:F172,'Product Categories'!C43:C172,A29)</f>
        <v>2438001.513459417</v>
      </c>
      <c r="E29" s="57">
        <f>SUMIFS('Product Categories'!G43:G172,'Product Categories'!C43:C172,A29)</f>
        <v>877680.54484539025</v>
      </c>
      <c r="F29" s="72">
        <f t="shared" si="0"/>
        <v>52.972395129919541</v>
      </c>
      <c r="G29" s="58">
        <f>IFERROR(D29/SUM(D22:D34),0)</f>
        <v>5.4341650090279324E-2</v>
      </c>
      <c r="I29" s="52" t="s">
        <v>86</v>
      </c>
      <c r="J29" s="53" t="s">
        <v>3</v>
      </c>
      <c r="K29" s="53" t="s">
        <v>2</v>
      </c>
      <c r="L29" s="53" t="s">
        <v>6</v>
      </c>
      <c r="M29" s="53" t="s">
        <v>4</v>
      </c>
      <c r="N29" s="54" t="s">
        <v>69</v>
      </c>
    </row>
    <row r="30" spans="1:14" x14ac:dyDescent="0.25">
      <c r="A30" s="36" t="s">
        <v>19</v>
      </c>
      <c r="B30" s="38" t="s">
        <v>16</v>
      </c>
      <c r="C30" s="62">
        <f>SUMIFS('Product Categories'!D43:D172,'Product Categories'!C43:C172,A30)</f>
        <v>54791</v>
      </c>
      <c r="D30" s="55">
        <f>SUMIFS('Product Categories'!F43:F172,'Product Categories'!C43:C172,A30)</f>
        <v>2031509.1641648412</v>
      </c>
      <c r="E30" s="55">
        <f>SUMIFS('Product Categories'!G43:G172,'Product Categories'!C43:C172,A30)</f>
        <v>731343.29909934266</v>
      </c>
      <c r="F30" s="71">
        <f t="shared" si="0"/>
        <v>37.07742447053058</v>
      </c>
      <c r="G30" s="56">
        <f>IFERROR(D30/SUM(D22:D34),0)</f>
        <v>4.5281169656697699E-2</v>
      </c>
      <c r="I30" s="46">
        <v>1</v>
      </c>
      <c r="J30" s="42" t="str">
        <f>INDEX(A22:A34,MATCH(L30,D22:D34,0))</f>
        <v>Zava Smart Fiber</v>
      </c>
      <c r="K30" s="42" t="str">
        <f>INDEX(B22:B34,MATCH(L30,D22:D34,0))</f>
        <v>Smart Fabric</v>
      </c>
      <c r="L30" s="82">
        <f>LARGE(D22:D34,1)</f>
        <v>9186431.6609317958</v>
      </c>
      <c r="M30" s="83">
        <f>INDEX(C22:C34,MATCH(L30,D22:D34,0))</f>
        <v>37857</v>
      </c>
      <c r="N30" s="84">
        <f>IFERROR(L30/SUM(D22:D34),0)</f>
        <v>0.20476027276466618</v>
      </c>
    </row>
    <row r="31" spans="1:14" x14ac:dyDescent="0.25">
      <c r="A31" s="37" t="s">
        <v>20</v>
      </c>
      <c r="B31" s="39" t="s">
        <v>16</v>
      </c>
      <c r="C31" s="64">
        <f>SUMIFS('Product Categories'!D43:D172,'Product Categories'!C43:C172,A31)</f>
        <v>61376</v>
      </c>
      <c r="D31" s="57">
        <f>SUMIFS('Product Categories'!F43:F172,'Product Categories'!C43:C172,A31)</f>
        <v>1625290.3388080003</v>
      </c>
      <c r="E31" s="57">
        <f>SUMIFS('Product Categories'!G43:G172,'Product Categories'!C43:C172,A31)</f>
        <v>585104.52197087999</v>
      </c>
      <c r="F31" s="72">
        <f t="shared" si="0"/>
        <v>26.480877522288846</v>
      </c>
      <c r="G31" s="58">
        <f>IFERROR(D31/SUM(D22:D34),0)</f>
        <v>3.6226785914210663E-2</v>
      </c>
      <c r="I31" s="47">
        <v>2</v>
      </c>
      <c r="J31" s="43" t="str">
        <f>INDEX(A22:A34,MATCH(L31,D22:D34,0))</f>
        <v>Smart Athletic Shirts</v>
      </c>
      <c r="K31" s="43" t="str">
        <f>INDEX(B22:B34,MATCH(L31,D22:D34,0))</f>
        <v>Smart Fabric</v>
      </c>
      <c r="L31" s="85">
        <f>LARGE(D22:D34,2)</f>
        <v>6288478.3159627803</v>
      </c>
      <c r="M31" s="86">
        <f>INDEX(C22:C34,MATCH(L31,D22:D34,0))</f>
        <v>45653</v>
      </c>
      <c r="N31" s="87">
        <f>IFERROR(L31/SUM(D22:D34),0)</f>
        <v>0.14016656116076967</v>
      </c>
    </row>
    <row r="32" spans="1:14" x14ac:dyDescent="0.25">
      <c r="A32" s="36" t="s">
        <v>21</v>
      </c>
      <c r="B32" s="38" t="s">
        <v>16</v>
      </c>
      <c r="C32" s="62">
        <f>SUMIFS('Product Categories'!D43:D172,'Product Categories'!C43:C172,A32)</f>
        <v>21303</v>
      </c>
      <c r="D32" s="55">
        <f>SUMIFS('Product Categories'!F43:F172,'Product Categories'!C43:C172,A32)</f>
        <v>1354206.6130295242</v>
      </c>
      <c r="E32" s="55">
        <f>SUMIFS('Product Categories'!G43:G172,'Product Categories'!C43:C172,A32)</f>
        <v>487514.38069062884</v>
      </c>
      <c r="F32" s="71">
        <f t="shared" si="0"/>
        <v>63.568821904404274</v>
      </c>
      <c r="G32" s="56">
        <f>IFERROR(D32/SUM(D22:D34),0)</f>
        <v>3.0184485739211859E-2</v>
      </c>
      <c r="I32" s="48">
        <v>3</v>
      </c>
      <c r="J32" s="44" t="str">
        <f>INDEX(A22:A34,MATCH(L32,D22:D34,0))</f>
        <v>Performance Monitoring Leggings</v>
      </c>
      <c r="K32" s="44" t="str">
        <f>INDEX(B22:B34,MATCH(L32,D22:D34,0))</f>
        <v>Smart Fabric</v>
      </c>
      <c r="L32" s="88">
        <f>LARGE(D22:D34,3)</f>
        <v>5029748.6668426655</v>
      </c>
      <c r="M32" s="89">
        <f>INDEX(C22:C34,MATCH(L32,D22:D34,0))</f>
        <v>29668</v>
      </c>
      <c r="N32" s="90">
        <f>IFERROR(L32/SUM(D22:D34),0)</f>
        <v>0.11211020197759317</v>
      </c>
    </row>
    <row r="33" spans="1:14" x14ac:dyDescent="0.25">
      <c r="A33" s="37" t="s">
        <v>22</v>
      </c>
      <c r="B33" s="39" t="s">
        <v>16</v>
      </c>
      <c r="C33" s="64">
        <f>SUMIFS('Product Categories'!D43:D172,'Product Categories'!C43:C172,A33)</f>
        <v>147603</v>
      </c>
      <c r="D33" s="57">
        <f>SUMIFS('Product Categories'!F43:F172,'Product Categories'!C43:C172,A33)</f>
        <v>2031749.6300504748</v>
      </c>
      <c r="E33" s="57">
        <f>SUMIFS('Product Categories'!G43:G172,'Product Categories'!C43:C172,A33)</f>
        <v>731429.86681817076</v>
      </c>
      <c r="F33" s="72">
        <f t="shared" si="0"/>
        <v>13.764961620363236</v>
      </c>
      <c r="G33" s="58">
        <f>IFERROR(D33/SUM(D22:D34),0)</f>
        <v>4.5286529502843655E-2</v>
      </c>
      <c r="I33" s="36">
        <v>4</v>
      </c>
      <c r="J33" s="38" t="str">
        <f>INDEX(A22:A34,MATCH(L33,D22:D34,0))</f>
        <v>Temperature-Regulating Shorts</v>
      </c>
      <c r="K33" s="38" t="str">
        <f>INDEX(B22:B34,MATCH(L33,D22:D34,0))</f>
        <v>Smart Fabric</v>
      </c>
      <c r="L33" s="55">
        <f>LARGE(D22:D34,4)</f>
        <v>4527635.0688388934</v>
      </c>
      <c r="M33" s="62">
        <f>INDEX(C22:C34,MATCH(L33,D22:D34,0))</f>
        <v>47480</v>
      </c>
      <c r="N33" s="56">
        <f>IFERROR(L33/SUM(D22:D34),0)</f>
        <v>0.10091837896285887</v>
      </c>
    </row>
    <row r="34" spans="1:14" x14ac:dyDescent="0.25">
      <c r="A34" s="36" t="s">
        <v>23</v>
      </c>
      <c r="B34" s="38" t="s">
        <v>16</v>
      </c>
      <c r="C34" s="62">
        <f>SUMIFS('Product Categories'!D43:D172,'Product Categories'!C43:C172,A34)</f>
        <v>63938</v>
      </c>
      <c r="D34" s="55">
        <f>SUMIFS('Product Categories'!F43:F172,'Product Categories'!C43:C172,A34)</f>
        <v>1354369.8062328747</v>
      </c>
      <c r="E34" s="55">
        <f>SUMIFS('Product Categories'!G43:G172,'Product Categories'!C43:C172,A34)</f>
        <v>487573.13024383492</v>
      </c>
      <c r="F34" s="71">
        <f t="shared" si="0"/>
        <v>21.182548816554704</v>
      </c>
      <c r="G34" s="56">
        <f>IFERROR(D34/SUM(D22:D34),0)</f>
        <v>3.0188123221758376E-2</v>
      </c>
      <c r="I34" s="37">
        <v>5</v>
      </c>
      <c r="J34" s="39" t="str">
        <f>INDEX(A22:A34,MATCH(L34,D22:D34,0))</f>
        <v>Biometric Sports Bras</v>
      </c>
      <c r="K34" s="39" t="str">
        <f>INDEX(B22:B34,MATCH(L34,D22:D34,0))</f>
        <v>Smart Fabric</v>
      </c>
      <c r="L34" s="57">
        <f>LARGE(D22:D34,5)</f>
        <v>3772842.2576210462</v>
      </c>
      <c r="M34" s="64">
        <f>INDEX(C22:C34,MATCH(L34,D22:D34,0))</f>
        <v>44511</v>
      </c>
      <c r="N34" s="58">
        <f>IFERROR(L34/SUM(D22:D34),0)</f>
        <v>8.4094481762049644E-2</v>
      </c>
    </row>
    <row r="35" spans="1:14" x14ac:dyDescent="0.25">
      <c r="A35" s="35" t="s">
        <v>70</v>
      </c>
      <c r="B35" s="40"/>
      <c r="C35" s="66">
        <f>SUM(C22:C34)</f>
        <v>744799</v>
      </c>
      <c r="D35" s="59">
        <f>SUM(D22:D34)</f>
        <v>44864326.155151635</v>
      </c>
      <c r="E35" s="59">
        <f>SUM(E22:E34)</f>
        <v>21529869.909663476</v>
      </c>
      <c r="F35" s="73">
        <f t="shared" si="0"/>
        <v>60.236823834553533</v>
      </c>
      <c r="G35" s="67">
        <v>1</v>
      </c>
      <c r="I35" s="36">
        <v>6</v>
      </c>
      <c r="J35" s="38" t="str">
        <f>INDEX(A22:A34,MATCH(L35,D22:D34,0))</f>
        <v>Basic Athletic Shirts</v>
      </c>
      <c r="K35" s="38" t="str">
        <f>INDEX(B22:B34,MATCH(L35,D22:D34,0))</f>
        <v>Traditional Athletic Wear</v>
      </c>
      <c r="L35" s="55">
        <f>LARGE(D22:D34,6)</f>
        <v>2708853.9183339025</v>
      </c>
      <c r="M35" s="62">
        <f>INDEX(C22:C34,MATCH(L35,D22:D34,0))</f>
        <v>85240</v>
      </c>
      <c r="N35" s="56">
        <f>IFERROR(L35/SUM(D22:D34),0)</f>
        <v>6.0378794255507899E-2</v>
      </c>
    </row>
    <row r="36" spans="1:14" x14ac:dyDescent="0.25">
      <c r="I36" s="37">
        <v>7</v>
      </c>
      <c r="J36" s="39" t="str">
        <f>INDEX(A22:A34,MATCH(L36,D22:D34,0))</f>
        <v>AI-Enhanced Running Socks</v>
      </c>
      <c r="K36" s="39" t="str">
        <f>INDEX(B22:B34,MATCH(L36,D22:D34,0))</f>
        <v>Smart Fabric</v>
      </c>
      <c r="L36" s="57">
        <f>LARGE(D22:D34,7)</f>
        <v>2515209.2008754183</v>
      </c>
      <c r="M36" s="64">
        <f>INDEX(C22:C34,MATCH(L36,D22:D34,0))</f>
        <v>59355</v>
      </c>
      <c r="N36" s="58">
        <f>IFERROR(L36/SUM(D22:D34),0)</f>
        <v>5.6062564991552967E-2</v>
      </c>
    </row>
    <row r="37" spans="1:14" x14ac:dyDescent="0.25">
      <c r="A37" s="102" t="s">
        <v>83</v>
      </c>
      <c r="B37" s="102"/>
      <c r="C37" s="102"/>
      <c r="D37" s="102"/>
      <c r="E37" s="102"/>
      <c r="F37" s="102"/>
      <c r="I37" s="36">
        <v>8</v>
      </c>
      <c r="J37" s="38" t="str">
        <f>INDEX(A22:A34,MATCH(L37,D22:D34,0))</f>
        <v>Standard Leggings</v>
      </c>
      <c r="K37" s="38" t="str">
        <f>INDEX(B22:B34,MATCH(L37,D22:D34,0))</f>
        <v>Traditional Athletic Wear</v>
      </c>
      <c r="L37" s="55">
        <f>LARGE(D22:D34,8)</f>
        <v>2438001.513459417</v>
      </c>
      <c r="M37" s="62">
        <f>INDEX(C22:C34,MATCH(L37,D22:D34,0))</f>
        <v>46024</v>
      </c>
      <c r="N37" s="56">
        <f>IFERROR(L37/SUM(D22:D34),0)</f>
        <v>5.4341650090279324E-2</v>
      </c>
    </row>
    <row r="38" spans="1:14" x14ac:dyDescent="0.25">
      <c r="A38" s="52" t="s">
        <v>1</v>
      </c>
      <c r="B38" s="53" t="s">
        <v>32</v>
      </c>
      <c r="C38" s="53" t="s">
        <v>33</v>
      </c>
      <c r="D38" s="53" t="s">
        <v>34</v>
      </c>
      <c r="E38" s="53" t="s">
        <v>35</v>
      </c>
      <c r="F38" s="54" t="s">
        <v>84</v>
      </c>
      <c r="I38" s="37">
        <v>9</v>
      </c>
      <c r="J38" s="39" t="str">
        <f>INDEX(A22:A34,MATCH(L38,D22:D34,0))</f>
        <v>Athletic Socks</v>
      </c>
      <c r="K38" s="39" t="str">
        <f>INDEX(B22:B34,MATCH(L38,D22:D34,0))</f>
        <v>Traditional Athletic Wear</v>
      </c>
      <c r="L38" s="57">
        <f>LARGE(D22:D34,9)</f>
        <v>2031749.6300504748</v>
      </c>
      <c r="M38" s="64">
        <f>INDEX(C22:C34,MATCH(L38,D22:D34,0))</f>
        <v>147603</v>
      </c>
      <c r="N38" s="58">
        <f>IFERROR(L38/SUM(D22:D34),0)</f>
        <v>4.5286529502843655E-2</v>
      </c>
    </row>
    <row r="39" spans="1:14" x14ac:dyDescent="0.25">
      <c r="A39" s="50">
        <v>45658</v>
      </c>
      <c r="B39" s="55">
        <f>'Regional Sales'!C40</f>
        <v>1751839.2290000001</v>
      </c>
      <c r="C39" s="55">
        <f>'Regional Sales'!C41</f>
        <v>990169.99899999995</v>
      </c>
      <c r="D39" s="55">
        <f>'Regional Sales'!C42</f>
        <v>914003.076</v>
      </c>
      <c r="E39" s="55">
        <f>'Regional Sales'!C43</f>
        <v>152333.84599999999</v>
      </c>
      <c r="F39" s="76">
        <f t="shared" ref="F39:F48" si="1">SUM(B39:E39)</f>
        <v>3808346.15</v>
      </c>
      <c r="I39" s="36">
        <v>10</v>
      </c>
      <c r="J39" s="38" t="str">
        <f>INDEX(A22:A34,MATCH(L39,D22:D34,0))</f>
        <v>Athletic Shorts</v>
      </c>
      <c r="K39" s="38" t="str">
        <f>INDEX(B22:B34,MATCH(L39,D22:D34,0))</f>
        <v>Traditional Athletic Wear</v>
      </c>
      <c r="L39" s="55">
        <f>LARGE(D22:D34,10)</f>
        <v>2031509.1641648412</v>
      </c>
      <c r="M39" s="62">
        <f>INDEX(C22:C34,MATCH(L39,D22:D34,0))</f>
        <v>54791</v>
      </c>
      <c r="N39" s="56">
        <f>IFERROR(L39/SUM(D22:D34),0)</f>
        <v>4.5281169656697699E-2</v>
      </c>
    </row>
    <row r="40" spans="1:14" x14ac:dyDescent="0.25">
      <c r="A40" s="51">
        <v>45689</v>
      </c>
      <c r="B40" s="57">
        <f>'Regional Sales'!C44</f>
        <v>1779542.6738</v>
      </c>
      <c r="C40" s="57">
        <f>'Regional Sales'!C45</f>
        <v>1005828.4678</v>
      </c>
      <c r="D40" s="57">
        <f>'Regional Sales'!C46</f>
        <v>928457.04720000003</v>
      </c>
      <c r="E40" s="57">
        <f>'Regional Sales'!C47</f>
        <v>154742.8412</v>
      </c>
      <c r="F40" s="75">
        <f t="shared" si="1"/>
        <v>3868571.03</v>
      </c>
      <c r="I40" s="37">
        <v>11</v>
      </c>
      <c r="J40" s="39" t="str">
        <f>INDEX(A22:A34,MATCH(L40,D22:D34,0))</f>
        <v>Sports Bras</v>
      </c>
      <c r="K40" s="39" t="str">
        <f>INDEX(B22:B34,MATCH(L40,D22:D34,0))</f>
        <v>Traditional Athletic Wear</v>
      </c>
      <c r="L40" s="57">
        <f>LARGE(D22:D34,11)</f>
        <v>1625290.3388080003</v>
      </c>
      <c r="M40" s="64">
        <f>INDEX(C22:C34,MATCH(L40,D22:D34,0))</f>
        <v>61376</v>
      </c>
      <c r="N40" s="58">
        <f>IFERROR(L40/SUM(D22:D34),0)</f>
        <v>3.6226785914210663E-2</v>
      </c>
    </row>
    <row r="41" spans="1:14" x14ac:dyDescent="0.25">
      <c r="A41" s="50">
        <v>45717</v>
      </c>
      <c r="B41" s="55">
        <f>'Regional Sales'!C48</f>
        <v>1993040.8729999999</v>
      </c>
      <c r="C41" s="55">
        <f>'Regional Sales'!C49</f>
        <v>1126501.3629999999</v>
      </c>
      <c r="D41" s="55">
        <f>'Regional Sales'!C50</f>
        <v>1039847.412</v>
      </c>
      <c r="E41" s="55">
        <f>'Regional Sales'!C51</f>
        <v>173307.902</v>
      </c>
      <c r="F41" s="76">
        <f t="shared" si="1"/>
        <v>4332697.55</v>
      </c>
      <c r="I41" s="36">
        <v>12</v>
      </c>
      <c r="J41" s="38" t="str">
        <f>INDEX(A22:A34,MATCH(L41,D22:D34,0))</f>
        <v>Accessories &amp; Equipment</v>
      </c>
      <c r="K41" s="38" t="str">
        <f>INDEX(B22:B34,MATCH(L41,D22:D34,0))</f>
        <v>Traditional Athletic Wear</v>
      </c>
      <c r="L41" s="55">
        <f>LARGE(D22:D34,12)</f>
        <v>1354369.8062328747</v>
      </c>
      <c r="M41" s="62">
        <f>INDEX(C22:C34,MATCH(L41,D22:D34,0))</f>
        <v>63938</v>
      </c>
      <c r="N41" s="56">
        <f>IFERROR(L41/SUM(D22:D34),0)</f>
        <v>3.0188123221758376E-2</v>
      </c>
    </row>
    <row r="42" spans="1:14" x14ac:dyDescent="0.25">
      <c r="A42" s="51">
        <v>45748</v>
      </c>
      <c r="B42" s="57">
        <f>'Regional Sales'!C52</f>
        <v>2032901.69046</v>
      </c>
      <c r="C42" s="57">
        <f>'Regional Sales'!C53</f>
        <v>1149031.39026</v>
      </c>
      <c r="D42" s="57">
        <f>'Regional Sales'!C54</f>
        <v>1060644.3602400001</v>
      </c>
      <c r="E42" s="57">
        <f>'Regional Sales'!C55</f>
        <v>176774.06004000001</v>
      </c>
      <c r="F42" s="75">
        <f t="shared" si="1"/>
        <v>4419351.5010000002</v>
      </c>
      <c r="I42" s="49">
        <v>13</v>
      </c>
      <c r="J42" s="45" t="str">
        <f>INDEX(A22:A34,MATCH(L42,D22:D34,0))</f>
        <v>Compression Wear</v>
      </c>
      <c r="K42" s="45" t="str">
        <f>INDEX(B22:B34,MATCH(L42,D22:D34,0))</f>
        <v>Traditional Athletic Wear</v>
      </c>
      <c r="L42" s="91">
        <f>LARGE(D22:D34,13)</f>
        <v>1354206.6130295242</v>
      </c>
      <c r="M42" s="92">
        <f>INDEX(C22:C34,MATCH(L42,D22:D34,0))</f>
        <v>21303</v>
      </c>
      <c r="N42" s="93">
        <f>IFERROR(L42/SUM(D22:D34),0)</f>
        <v>3.0184485739211859E-2</v>
      </c>
    </row>
    <row r="43" spans="1:14" x14ac:dyDescent="0.25">
      <c r="A43" s="50">
        <v>45778</v>
      </c>
      <c r="B43" s="55">
        <f>'Regional Sales'!C56</f>
        <v>2073559.7242692001</v>
      </c>
      <c r="C43" s="55">
        <f>'Regional Sales'!C57</f>
        <v>1172012.0180652</v>
      </c>
      <c r="D43" s="55">
        <f>'Regional Sales'!C58</f>
        <v>1081857.2474448001</v>
      </c>
      <c r="E43" s="55">
        <f>'Regional Sales'!C59</f>
        <v>180309.5412408</v>
      </c>
      <c r="F43" s="76">
        <f t="shared" si="1"/>
        <v>4507738.5310200006</v>
      </c>
    </row>
    <row r="44" spans="1:14" x14ac:dyDescent="0.25">
      <c r="A44" s="51">
        <v>45809</v>
      </c>
      <c r="B44" s="57">
        <f>'Regional Sales'!C60</f>
        <v>2115030.91875458</v>
      </c>
      <c r="C44" s="57">
        <f>'Regional Sales'!C61</f>
        <v>1195452.2584265</v>
      </c>
      <c r="D44" s="57">
        <f>'Regional Sales'!C62</f>
        <v>1103494.3923937001</v>
      </c>
      <c r="E44" s="57">
        <f>'Regional Sales'!C63</f>
        <v>183915.732065616</v>
      </c>
      <c r="F44" s="75">
        <f t="shared" si="1"/>
        <v>4597893.301640396</v>
      </c>
    </row>
    <row r="45" spans="1:14" x14ac:dyDescent="0.25">
      <c r="A45" s="50">
        <v>45839</v>
      </c>
      <c r="B45" s="55">
        <f>'Regional Sales'!C64</f>
        <v>2157331.5371296802</v>
      </c>
      <c r="C45" s="55">
        <f>'Regional Sales'!C65</f>
        <v>1219361.30359503</v>
      </c>
      <c r="D45" s="55">
        <f>'Regional Sales'!C66</f>
        <v>1125564.28024157</v>
      </c>
      <c r="E45" s="55">
        <f>'Regional Sales'!C67</f>
        <v>187594.046706928</v>
      </c>
      <c r="F45" s="76">
        <f t="shared" si="1"/>
        <v>4689851.1676732078</v>
      </c>
    </row>
    <row r="46" spans="1:14" x14ac:dyDescent="0.25">
      <c r="A46" s="51">
        <v>45870</v>
      </c>
      <c r="B46" s="57">
        <f>'Regional Sales'!C68</f>
        <v>2200478.1678722701</v>
      </c>
      <c r="C46" s="57">
        <f>'Regional Sales'!C69</f>
        <v>1243748.52966693</v>
      </c>
      <c r="D46" s="57">
        <f>'Regional Sales'!C70</f>
        <v>1148075.5658464001</v>
      </c>
      <c r="E46" s="57">
        <f>'Regional Sales'!C71</f>
        <v>191345.92764106701</v>
      </c>
      <c r="F46" s="75">
        <f t="shared" si="1"/>
        <v>4783648.1910266671</v>
      </c>
    </row>
    <row r="47" spans="1:14" x14ac:dyDescent="0.25">
      <c r="A47" s="50">
        <v>45901</v>
      </c>
      <c r="B47" s="55">
        <f>'Regional Sales'!C72</f>
        <v>2244487.7312297202</v>
      </c>
      <c r="C47" s="55">
        <f>'Regional Sales'!C73</f>
        <v>1268623.50026027</v>
      </c>
      <c r="D47" s="55">
        <f>'Regional Sales'!C74</f>
        <v>1171037.07716333</v>
      </c>
      <c r="E47" s="55">
        <f>'Regional Sales'!C75</f>
        <v>195172.84619388799</v>
      </c>
      <c r="F47" s="76">
        <f t="shared" si="1"/>
        <v>4879321.1548472084</v>
      </c>
    </row>
    <row r="48" spans="1:14" x14ac:dyDescent="0.25">
      <c r="A48" s="51">
        <v>45931</v>
      </c>
      <c r="B48" s="57">
        <f>'Regional Sales'!C76</f>
        <v>2289377.48585431</v>
      </c>
      <c r="C48" s="57">
        <f>'Regional Sales'!C77</f>
        <v>1293995.97026548</v>
      </c>
      <c r="D48" s="57">
        <f>'Regional Sales'!C78</f>
        <v>1194457.8187066</v>
      </c>
      <c r="E48" s="57">
        <f>'Regional Sales'!C79</f>
        <v>199076.30311776599</v>
      </c>
      <c r="F48" s="75">
        <f t="shared" si="1"/>
        <v>4976907.5779441558</v>
      </c>
    </row>
    <row r="49" spans="1:14" x14ac:dyDescent="0.25">
      <c r="A49" s="35" t="s">
        <v>70</v>
      </c>
      <c r="B49" s="59">
        <f>SUM(B39:B48)</f>
        <v>20637590.031369761</v>
      </c>
      <c r="C49" s="59">
        <f>SUM(C39:C48)</f>
        <v>11664724.800339408</v>
      </c>
      <c r="D49" s="59">
        <f>SUM(D39:D48)</f>
        <v>10767438.2772364</v>
      </c>
      <c r="E49" s="59">
        <f>SUM(E39:E48)</f>
        <v>1794573.0462060648</v>
      </c>
      <c r="F49" s="94">
        <f>SUM(F39:F48)</f>
        <v>44864326.155151635</v>
      </c>
    </row>
    <row r="50" spans="1:14" ht="8.1" customHeight="1" x14ac:dyDescent="0.25"/>
    <row r="51" spans="1:14" x14ac:dyDescent="0.25">
      <c r="A51" s="103" t="s">
        <v>87</v>
      </c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70" spans="1:6" x14ac:dyDescent="0.25">
      <c r="A70" s="33" t="s">
        <v>76</v>
      </c>
      <c r="B70" s="33" t="s">
        <v>9</v>
      </c>
      <c r="C70" s="33" t="s">
        <v>77</v>
      </c>
      <c r="E70" s="33" t="s">
        <v>3</v>
      </c>
      <c r="F70" s="33" t="s">
        <v>88</v>
      </c>
    </row>
    <row r="71" spans="1:6" x14ac:dyDescent="0.25">
      <c r="A71" s="33" t="s">
        <v>88</v>
      </c>
      <c r="B71" s="34">
        <f>J23/1000000</f>
        <v>31.320345171072599</v>
      </c>
      <c r="C71" s="34">
        <f>K23/1000000</f>
        <v>13.543980984079036</v>
      </c>
      <c r="E71" s="33" t="str">
        <f>J30</f>
        <v>Zava Smart Fiber</v>
      </c>
      <c r="F71" s="34">
        <f>L30/1000000</f>
        <v>9.1864316609317953</v>
      </c>
    </row>
    <row r="72" spans="1:6" x14ac:dyDescent="0.25">
      <c r="A72" s="33" t="s">
        <v>89</v>
      </c>
      <c r="B72" s="34">
        <f>J24/1000000</f>
        <v>16.654036755395026</v>
      </c>
      <c r="C72" s="34">
        <f>K24/1000000</f>
        <v>4.8758331542684523</v>
      </c>
      <c r="E72" s="33" t="str">
        <f>J31</f>
        <v>Smart Athletic Shirts</v>
      </c>
      <c r="F72" s="34">
        <f>L31/1000000</f>
        <v>6.28847831596278</v>
      </c>
    </row>
    <row r="73" spans="1:6" x14ac:dyDescent="0.25">
      <c r="A73" s="33" t="s">
        <v>90</v>
      </c>
      <c r="B73" s="33">
        <f>J22/1000</f>
        <v>264.524</v>
      </c>
      <c r="C73" s="33">
        <f>K22/1000</f>
        <v>480.27499999999998</v>
      </c>
      <c r="E73" s="33" t="str">
        <f>J32</f>
        <v>Performance Monitoring Leggings</v>
      </c>
      <c r="F73" s="34">
        <f>L32/1000000</f>
        <v>5.0297486668426652</v>
      </c>
    </row>
    <row r="74" spans="1:6" x14ac:dyDescent="0.25">
      <c r="E74" s="33" t="str">
        <f>J33</f>
        <v>Temperature-Regulating Shorts</v>
      </c>
      <c r="F74" s="34">
        <f>L33/1000000</f>
        <v>4.5276350688388938</v>
      </c>
    </row>
    <row r="75" spans="1:6" x14ac:dyDescent="0.25">
      <c r="E75" s="33" t="str">
        <f>J34</f>
        <v>Biometric Sports Bras</v>
      </c>
      <c r="F75" s="34">
        <f>L34/1000000</f>
        <v>3.7728422576210461</v>
      </c>
    </row>
    <row r="84" spans="1:14" x14ac:dyDescent="0.25">
      <c r="A84" s="104" t="s">
        <v>91</v>
      </c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</row>
  </sheetData>
  <mergeCells count="20">
    <mergeCell ref="A37:F37"/>
    <mergeCell ref="I28:N28"/>
    <mergeCell ref="A51:N51"/>
    <mergeCell ref="A84:N84"/>
    <mergeCell ref="M3:N3"/>
    <mergeCell ref="M4:N4"/>
    <mergeCell ref="A6:F6"/>
    <mergeCell ref="H6:N6"/>
    <mergeCell ref="A20:G20"/>
    <mergeCell ref="I20:N20"/>
    <mergeCell ref="A1:N1"/>
    <mergeCell ref="A2:N2"/>
    <mergeCell ref="A3:B3"/>
    <mergeCell ref="A4:B4"/>
    <mergeCell ref="D3:E3"/>
    <mergeCell ref="D4:E4"/>
    <mergeCell ref="G3:H3"/>
    <mergeCell ref="G4:H4"/>
    <mergeCell ref="J3:K3"/>
    <mergeCell ref="J4:K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EBB80A9DA954CA68EDBF69D994D6F" ma:contentTypeVersion="7" ma:contentTypeDescription="Create a new document." ma:contentTypeScope="" ma:versionID="c476ba719a66ce13132a6401d6945285">
  <xsd:schema xmlns:xsd="http://www.w3.org/2001/XMLSchema" xmlns:xs="http://www.w3.org/2001/XMLSchema" xmlns:p="http://schemas.microsoft.com/office/2006/metadata/properties" xmlns:ns1="http://schemas.microsoft.com/sharepoint/v3" xmlns:ns2="967ff642-b8ab-482c-84db-d2bed95e1bd3" targetNamespace="http://schemas.microsoft.com/office/2006/metadata/properties" ma:root="true" ma:fieldsID="03c4c38457b66162ae42dd82609f1bfe" ns1:_="" ns2:_="">
    <xsd:import namespace="http://schemas.microsoft.com/sharepoint/v3"/>
    <xsd:import namespace="967ff642-b8ab-482c-84db-d2bed95e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ff642-b8ab-482c-84db-d2bed95e1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16030-AEE3-4C7B-B98E-5752BB5F82A4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d0de27d6-ed64-4365-b454-c85f97c82a09"/>
    <ds:schemaRef ds:uri="5e2db648-71e5-403d-bff8-dc10f4ef4f87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AE11D62-3890-45EC-867E-0B637EBEF5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287ED6-F101-4FAF-AAC1-9CB1DCAE5108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Categories</vt:lpstr>
      <vt:lpstr>Regional Sales</vt:lpstr>
      <vt:lpstr>Monthly Financial Data</vt:lpstr>
      <vt:lpstr>Executive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2025-09-10T21:17:46Z</dcterms:created>
  <dcterms:modified xsi:type="dcterms:W3CDTF">2026-03-25T14:27:36Z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0x0101000D3EBB80A9DA954CA68EDBF69D994D6F</vt:lpwstr>
  </property>
  <property fmtid="{D5CDD505-2E9C-101B-9397-08002B2CF9AE}" pid="3" name="MediaServiceImageTags">
    <vt:lpwstr/>
  </property>
  <property fmtid="{D5CDD505-2E9C-101B-9397-08002B2CF9AE}" pid="4" name="Order">
    <vt:r8>274500</vt:r8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{"FileActivityType":"9","FileActivityTimeStamp":"2026-02-24T18:11:40.033Z","FileActivityUsersOnPage":[{"DisplayName":"Rajiv Thandla","Id":"rajivthandla@microsoft.com"},{"DisplayName":"Sam Hoffman","Id":"sahoffman@microsoft.com"}],"FileActivityNavigationId":null}</vt:lpwstr>
  </property>
  <property fmtid="{D5CDD505-2E9C-101B-9397-08002B2CF9AE}" pid="7" name="TriggerFlowInfo">
    <vt:lpwstr/>
  </property>
</Properties>
</file>